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موقت فناوری اطلاعات\کنترل کیفیت\خانم طیبی\کارت اهداف\دیتاهای جدید 1405.07.18\خدمات\"/>
    </mc:Choice>
  </mc:AlternateContent>
  <xr:revisionPtr revIDLastSave="0" documentId="13_ncr:1_{5FFBFDDB-CD62-4ABB-8143-2BB37E7227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داده خام" sheetId="1" r:id="rId1"/>
    <sheet name="منطق دسته‌بندی" sheetId="2" r:id="rId2"/>
  </sheets>
  <definedNames>
    <definedName name="_xlnm._FilterDatabase" localSheetId="1" hidden="1">'منطق دسته‌بندی'!$A$1:$C$187</definedName>
    <definedName name="_xlnm.Print_Titles" localSheetId="0">'داده خام'!$1:$1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17" i="1" l="1"/>
  <c r="M289" i="1"/>
  <c r="M287" i="1"/>
  <c r="M267" i="1"/>
  <c r="M264" i="1"/>
  <c r="M239" i="1"/>
  <c r="M225" i="1"/>
  <c r="M216" i="1"/>
  <c r="M213" i="1"/>
  <c r="M206" i="1"/>
  <c r="M199" i="1"/>
  <c r="M192" i="1"/>
  <c r="M177" i="1"/>
  <c r="M174" i="1"/>
  <c r="M170" i="1"/>
  <c r="M167" i="1"/>
  <c r="M156" i="1"/>
  <c r="M409" i="1"/>
  <c r="M406" i="1"/>
  <c r="M380" i="1"/>
  <c r="M361" i="1"/>
  <c r="M348" i="1"/>
  <c r="M346" i="1"/>
  <c r="M305" i="1"/>
  <c r="M301" i="1"/>
  <c r="M298" i="1"/>
  <c r="M296" i="1"/>
  <c r="M285" i="1"/>
  <c r="M256" i="1"/>
  <c r="M250" i="1"/>
  <c r="M195" i="1"/>
  <c r="M194" i="1"/>
  <c r="M193" i="1"/>
  <c r="M187" i="1"/>
  <c r="M173" i="1"/>
  <c r="M160" i="1"/>
  <c r="M151" i="1"/>
  <c r="M150" i="1"/>
  <c r="M85" i="1"/>
  <c r="P13" i="1" a="1"/>
  <c r="P13" i="1" s="1"/>
  <c r="P39" i="1" a="1"/>
  <c r="P39" i="1" s="1"/>
  <c r="P2" i="1" a="1"/>
  <c r="P2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8" i="1" a="1"/>
  <c r="P218" i="1" s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 s="1"/>
  <c r="P225" i="1" a="1"/>
  <c r="P225" i="1" s="1"/>
  <c r="P226" i="1" a="1"/>
  <c r="P226" i="1" s="1"/>
  <c r="P227" i="1" a="1"/>
  <c r="P227" i="1" s="1"/>
  <c r="P228" i="1" a="1"/>
  <c r="P228" i="1" s="1"/>
  <c r="P229" i="1" a="1"/>
  <c r="P229" i="1" s="1"/>
  <c r="P230" i="1" a="1"/>
  <c r="P230" i="1" s="1"/>
  <c r="P231" i="1" a="1"/>
  <c r="P231" i="1" s="1"/>
  <c r="P232" i="1" a="1"/>
  <c r="P232" i="1" s="1"/>
  <c r="P233" i="1" a="1"/>
  <c r="P233" i="1" s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9" i="1" a="1"/>
  <c r="P239" i="1" s="1"/>
  <c r="P240" i="1" a="1"/>
  <c r="P240" i="1" s="1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 s="1"/>
  <c r="P247" i="1" a="1"/>
  <c r="P247" i="1" s="1"/>
  <c r="P248" i="1" a="1"/>
  <c r="P248" i="1" s="1"/>
  <c r="P249" i="1" a="1"/>
  <c r="P249" i="1" s="1"/>
  <c r="P250" i="1" a="1"/>
  <c r="P250" i="1" s="1"/>
  <c r="P251" i="1" a="1"/>
  <c r="P251" i="1" s="1"/>
  <c r="P252" i="1" a="1"/>
  <c r="P252" i="1" s="1"/>
  <c r="P253" i="1" a="1"/>
  <c r="P253" i="1" s="1"/>
  <c r="P254" i="1" a="1"/>
  <c r="P254" i="1" s="1"/>
  <c r="P255" i="1" a="1"/>
  <c r="P255" i="1" s="1"/>
  <c r="P256" i="1" a="1"/>
  <c r="P256" i="1" s="1"/>
  <c r="P257" i="1" a="1"/>
  <c r="P257" i="1" s="1"/>
  <c r="P258" i="1" a="1"/>
  <c r="P258" i="1" s="1"/>
  <c r="P259" i="1" a="1"/>
  <c r="P259" i="1" s="1"/>
  <c r="P260" i="1" a="1"/>
  <c r="P260" i="1" s="1"/>
  <c r="P261" i="1" a="1"/>
  <c r="P261" i="1" s="1"/>
  <c r="P262" i="1" a="1"/>
  <c r="P262" i="1" s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 s="1"/>
  <c r="P274" i="1" a="1"/>
  <c r="P274" i="1" s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2" i="1" a="1"/>
  <c r="P282" i="1" s="1"/>
  <c r="P283" i="1" a="1"/>
  <c r="P283" i="1" s="1"/>
  <c r="P284" i="1" a="1"/>
  <c r="P284" i="1" s="1"/>
  <c r="P285" i="1" a="1"/>
  <c r="P285" i="1" s="1"/>
  <c r="P286" i="1" a="1"/>
  <c r="P286" i="1" s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 s="1"/>
  <c r="P293" i="1" a="1"/>
  <c r="P293" i="1" s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 s="1"/>
  <c r="P303" i="1" a="1"/>
  <c r="P303" i="1" s="1"/>
  <c r="P304" i="1" a="1"/>
  <c r="P304" i="1" s="1"/>
  <c r="P305" i="1" a="1"/>
  <c r="P305" i="1" s="1"/>
  <c r="P306" i="1" a="1"/>
  <c r="P306" i="1" s="1"/>
  <c r="P307" i="1" a="1"/>
  <c r="P307" i="1" s="1"/>
  <c r="P308" i="1" a="1"/>
  <c r="P308" i="1" s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 s="1"/>
  <c r="P319" i="1" a="1"/>
  <c r="P319" i="1" s="1"/>
  <c r="P320" i="1" a="1"/>
  <c r="P320" i="1" s="1"/>
  <c r="P321" i="1" a="1"/>
  <c r="P321" i="1" s="1"/>
  <c r="P322" i="1" a="1"/>
  <c r="P322" i="1" s="1"/>
  <c r="P323" i="1" a="1"/>
  <c r="P323" i="1" s="1"/>
  <c r="P324" i="1" a="1"/>
  <c r="P324" i="1" s="1"/>
  <c r="P325" i="1" a="1"/>
  <c r="P325" i="1" s="1"/>
  <c r="P326" i="1" a="1"/>
  <c r="P326" i="1" s="1"/>
  <c r="P327" i="1" a="1"/>
  <c r="P327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 s="1"/>
  <c r="P335" i="1" a="1"/>
  <c r="P335" i="1" s="1"/>
  <c r="P336" i="1" a="1"/>
  <c r="P336" i="1" s="1"/>
  <c r="P337" i="1" a="1"/>
  <c r="P337" i="1" s="1"/>
  <c r="P338" i="1" a="1"/>
  <c r="P338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46" i="1" a="1"/>
  <c r="P346" i="1" s="1"/>
  <c r="P347" i="1" a="1"/>
  <c r="P347" i="1" s="1"/>
  <c r="P348" i="1" a="1"/>
  <c r="P348" i="1" s="1"/>
  <c r="P349" i="1" a="1"/>
  <c r="P349" i="1" s="1"/>
  <c r="P350" i="1" a="1"/>
  <c r="P350" i="1" s="1"/>
  <c r="P351" i="1" a="1"/>
  <c r="P351" i="1" s="1"/>
  <c r="P352" i="1" a="1"/>
  <c r="P352" i="1" s="1"/>
  <c r="P353" i="1" a="1"/>
  <c r="P353" i="1" s="1"/>
  <c r="P354" i="1" a="1"/>
  <c r="P354" i="1" s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 s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366" i="1" a="1"/>
  <c r="P366" i="1" s="1"/>
  <c r="P367" i="1" a="1"/>
  <c r="P367" i="1" s="1"/>
  <c r="P368" i="1" a="1"/>
  <c r="P368" i="1" s="1"/>
  <c r="P369" i="1" a="1"/>
  <c r="P369" i="1" s="1"/>
  <c r="P370" i="1" a="1"/>
  <c r="P370" i="1" s="1"/>
  <c r="P371" i="1" a="1"/>
  <c r="P371" i="1" s="1"/>
  <c r="P372" i="1" a="1"/>
  <c r="P372" i="1" s="1"/>
  <c r="P373" i="1" a="1"/>
  <c r="P373" i="1" s="1"/>
  <c r="P374" i="1" a="1"/>
  <c r="P374" i="1" s="1"/>
  <c r="P375" i="1" a="1"/>
  <c r="P375" i="1" s="1"/>
  <c r="P376" i="1" a="1"/>
  <c r="P376" i="1" s="1"/>
  <c r="P377" i="1" a="1"/>
  <c r="P377" i="1" s="1"/>
  <c r="P378" i="1" a="1"/>
  <c r="P378" i="1" s="1"/>
  <c r="P379" i="1" a="1"/>
  <c r="P379" i="1" s="1"/>
  <c r="P380" i="1" a="1"/>
  <c r="P380" i="1" s="1"/>
  <c r="P381" i="1" a="1"/>
  <c r="P381" i="1" s="1"/>
  <c r="P382" i="1" a="1"/>
  <c r="P382" i="1" s="1"/>
  <c r="P383" i="1" a="1"/>
  <c r="P383" i="1" s="1"/>
  <c r="P384" i="1" a="1"/>
  <c r="P384" i="1" s="1"/>
  <c r="P385" i="1" a="1"/>
  <c r="P385" i="1" s="1"/>
  <c r="P386" i="1" a="1"/>
  <c r="P386" i="1" s="1"/>
  <c r="P387" i="1" a="1"/>
  <c r="P387" i="1" s="1"/>
  <c r="P388" i="1" a="1"/>
  <c r="P388" i="1" s="1"/>
  <c r="P389" i="1" a="1"/>
  <c r="P389" i="1" s="1"/>
  <c r="P390" i="1" a="1"/>
  <c r="P390" i="1" s="1"/>
  <c r="P391" i="1" a="1"/>
  <c r="P391" i="1" s="1"/>
  <c r="P392" i="1" a="1"/>
  <c r="P392" i="1" s="1"/>
  <c r="P393" i="1" a="1"/>
  <c r="P393" i="1" s="1"/>
  <c r="P394" i="1" a="1"/>
  <c r="P394" i="1" s="1"/>
  <c r="P395" i="1" a="1"/>
  <c r="P395" i="1" s="1"/>
  <c r="P396" i="1" a="1"/>
  <c r="P396" i="1" s="1"/>
  <c r="P397" i="1" a="1"/>
  <c r="P397" i="1" s="1"/>
  <c r="P398" i="1" a="1"/>
  <c r="P398" i="1" s="1"/>
  <c r="P399" i="1" a="1"/>
  <c r="P399" i="1" s="1"/>
  <c r="P400" i="1" a="1"/>
  <c r="P400" i="1" s="1"/>
  <c r="P401" i="1" a="1"/>
  <c r="P401" i="1" s="1"/>
  <c r="P402" i="1" a="1"/>
  <c r="P402" i="1" s="1"/>
  <c r="P403" i="1" a="1"/>
  <c r="P403" i="1" s="1"/>
  <c r="P404" i="1" a="1"/>
  <c r="P404" i="1" s="1"/>
  <c r="P405" i="1" a="1"/>
  <c r="P405" i="1" s="1"/>
  <c r="P406" i="1" a="1"/>
  <c r="P406" i="1" s="1"/>
  <c r="P407" i="1" a="1"/>
  <c r="P407" i="1" s="1"/>
  <c r="P408" i="1" a="1"/>
  <c r="P408" i="1" s="1"/>
  <c r="P409" i="1" a="1"/>
  <c r="P409" i="1" s="1"/>
  <c r="P410" i="1" a="1"/>
  <c r="P410" i="1" s="1"/>
  <c r="P411" i="1" a="1"/>
  <c r="P411" i="1" s="1"/>
  <c r="P412" i="1" a="1"/>
  <c r="P412" i="1" s="1"/>
  <c r="P413" i="1" a="1"/>
  <c r="P413" i="1" s="1"/>
  <c r="P414" i="1" a="1"/>
  <c r="P414" i="1" s="1"/>
  <c r="P415" i="1" a="1"/>
  <c r="P415" i="1" s="1"/>
  <c r="P416" i="1" a="1"/>
  <c r="P416" i="1" s="1"/>
  <c r="P417" i="1" a="1"/>
  <c r="P417" i="1" s="1"/>
  <c r="P418" i="1" a="1"/>
  <c r="P418" i="1" s="1"/>
  <c r="P419" i="1" a="1"/>
  <c r="P419" i="1" s="1"/>
  <c r="P420" i="1" a="1"/>
  <c r="P420" i="1" s="1"/>
  <c r="P421" i="1" a="1"/>
  <c r="P421" i="1" s="1"/>
  <c r="P422" i="1" a="1"/>
  <c r="P422" i="1" s="1"/>
  <c r="P423" i="1" a="1"/>
  <c r="P423" i="1" s="1"/>
  <c r="P424" i="1" a="1"/>
  <c r="P424" i="1" s="1"/>
  <c r="P425" i="1" a="1"/>
  <c r="P425" i="1" s="1"/>
  <c r="P426" i="1" a="1"/>
  <c r="P426" i="1" s="1"/>
  <c r="P427" i="1" a="1"/>
  <c r="P427" i="1" s="1"/>
  <c r="P428" i="1" a="1"/>
  <c r="P428" i="1" s="1"/>
  <c r="P429" i="1" a="1"/>
  <c r="P429" i="1" s="1"/>
  <c r="P430" i="1" a="1"/>
  <c r="P430" i="1" s="1"/>
  <c r="P431" i="1" a="1"/>
  <c r="P431" i="1" s="1"/>
  <c r="P432" i="1" a="1"/>
  <c r="P432" i="1" s="1"/>
  <c r="P433" i="1" a="1"/>
  <c r="P433" i="1" s="1"/>
  <c r="P434" i="1" a="1"/>
  <c r="P434" i="1" s="1"/>
  <c r="P435" i="1" a="1"/>
  <c r="P435" i="1" s="1"/>
  <c r="P436" i="1" a="1"/>
  <c r="P436" i="1" s="1"/>
  <c r="P437" i="1" a="1"/>
  <c r="P437" i="1" s="1"/>
  <c r="P438" i="1" a="1"/>
  <c r="P438" i="1" s="1"/>
  <c r="P439" i="1" a="1"/>
  <c r="P439" i="1" s="1"/>
  <c r="P440" i="1" a="1"/>
  <c r="P440" i="1" s="1"/>
  <c r="O378" i="1" a="1"/>
  <c r="O378" i="1" s="1"/>
  <c r="O399" i="1" a="1"/>
  <c r="O399" i="1" s="1"/>
  <c r="O161" i="1" a="1"/>
  <c r="O161" i="1" s="1"/>
  <c r="O272" i="1" a="1"/>
  <c r="O272" i="1" s="1"/>
  <c r="O142" i="1" a="1"/>
  <c r="O142" i="1" s="1"/>
  <c r="O277" i="1" a="1"/>
  <c r="O277" i="1" s="1"/>
  <c r="O281" i="1" a="1"/>
  <c r="O281" i="1" s="1"/>
  <c r="O312" i="1" a="1"/>
  <c r="O312" i="1" s="1"/>
  <c r="O397" i="1" a="1"/>
  <c r="O397" i="1" s="1"/>
  <c r="O295" i="1" a="1"/>
  <c r="O295" i="1" s="1"/>
  <c r="O169" i="1" a="1"/>
  <c r="O169" i="1" s="1"/>
  <c r="O17" i="1" a="1"/>
  <c r="O17" i="1" s="1"/>
  <c r="O382" i="1" a="1"/>
  <c r="O382" i="1" s="1"/>
  <c r="O44" i="1" a="1"/>
  <c r="O44" i="1" s="1"/>
  <c r="O116" i="1" a="1"/>
  <c r="O116" i="1" s="1"/>
  <c r="O133" i="1" a="1"/>
  <c r="O133" i="1" s="1"/>
  <c r="O76" i="1" a="1"/>
  <c r="O76" i="1" s="1"/>
  <c r="O190" i="1" a="1"/>
  <c r="O190" i="1" s="1"/>
  <c r="O342" i="1" a="1"/>
  <c r="O342" i="1" s="1"/>
  <c r="O243" i="1" a="1"/>
  <c r="O243" i="1" s="1"/>
  <c r="O236" i="1" a="1"/>
  <c r="O236" i="1" s="1"/>
  <c r="O51" i="1" a="1"/>
  <c r="O51" i="1" s="1"/>
  <c r="O419" i="1" a="1"/>
  <c r="O419" i="1" s="1"/>
  <c r="O145" i="1" a="1"/>
  <c r="O145" i="1" s="1"/>
  <c r="O420" i="1" a="1"/>
  <c r="O420" i="1" s="1"/>
  <c r="O155" i="1" a="1"/>
  <c r="O155" i="1" s="1"/>
  <c r="O106" i="1" a="1"/>
  <c r="O106" i="1" s="1"/>
  <c r="O322" i="1" a="1"/>
  <c r="O322" i="1" s="1"/>
  <c r="O356" i="1" a="1"/>
  <c r="O356" i="1" s="1"/>
  <c r="O247" i="1" a="1"/>
  <c r="O247" i="1" s="1"/>
  <c r="O373" i="1" a="1"/>
  <c r="O373" i="1" s="1"/>
  <c r="O206" i="1" a="1"/>
  <c r="O206" i="1" s="1"/>
  <c r="O383" i="1" a="1"/>
  <c r="O383" i="1" s="1"/>
  <c r="O182" i="1" a="1"/>
  <c r="O182" i="1" s="1"/>
  <c r="O431" i="1" a="1"/>
  <c r="O431" i="1" s="1"/>
  <c r="O139" i="1" a="1"/>
  <c r="O139" i="1" s="1"/>
  <c r="O79" i="1" a="1"/>
  <c r="O79" i="1" s="1"/>
  <c r="O422" i="1" a="1"/>
  <c r="O422" i="1" s="1"/>
  <c r="O433" i="1" a="1"/>
  <c r="O433" i="1" s="1"/>
  <c r="O48" i="1" a="1"/>
  <c r="O48" i="1" s="1"/>
  <c r="O427" i="1" a="1"/>
  <c r="O427" i="1" s="1"/>
  <c r="O357" i="1" a="1"/>
  <c r="O357" i="1" s="1"/>
  <c r="O47" i="1" a="1"/>
  <c r="O47" i="1" s="1"/>
  <c r="O230" i="1" a="1"/>
  <c r="O230" i="1" s="1"/>
  <c r="O362" i="1" a="1"/>
  <c r="O362" i="1" s="1"/>
  <c r="O375" i="1" a="1"/>
  <c r="O375" i="1" s="1"/>
  <c r="O401" i="1" a="1"/>
  <c r="O401" i="1" s="1"/>
  <c r="O275" i="1" a="1"/>
  <c r="O275" i="1" s="1"/>
  <c r="O166" i="1" a="1"/>
  <c r="O166" i="1" s="1"/>
  <c r="O429" i="1" a="1"/>
  <c r="O429" i="1" s="1"/>
  <c r="O430" i="1" a="1"/>
  <c r="O430" i="1" s="1"/>
  <c r="O103" i="1" a="1"/>
  <c r="O103" i="1" s="1"/>
  <c r="O98" i="1" a="1"/>
  <c r="O98" i="1" s="1"/>
  <c r="O42" i="1" a="1"/>
  <c r="O42" i="1" s="1"/>
  <c r="O436" i="1" a="1"/>
  <c r="O436" i="1" s="1"/>
  <c r="O234" i="1" a="1"/>
  <c r="O234" i="1" s="1"/>
  <c r="O183" i="1" a="1"/>
  <c r="O183" i="1" s="1"/>
  <c r="O154" i="1" a="1"/>
  <c r="O154" i="1" s="1"/>
  <c r="O153" i="1" a="1"/>
  <c r="O153" i="1" s="1"/>
  <c r="O350" i="1" a="1"/>
  <c r="O350" i="1" s="1"/>
  <c r="O152" i="1" a="1"/>
  <c r="O152" i="1" s="1"/>
  <c r="O221" i="1" a="1"/>
  <c r="O221" i="1" s="1"/>
  <c r="O168" i="1" a="1"/>
  <c r="O168" i="1" s="1"/>
  <c r="O99" i="1" a="1"/>
  <c r="O99" i="1" s="1"/>
  <c r="O40" i="1" a="1"/>
  <c r="O40" i="1" s="1"/>
  <c r="O244" i="1" a="1"/>
  <c r="O244" i="1" s="1"/>
  <c r="O95" i="1" a="1"/>
  <c r="O95" i="1" s="1"/>
  <c r="O435" i="1" a="1"/>
  <c r="O435" i="1" s="1"/>
  <c r="O59" i="1" a="1"/>
  <c r="O59" i="1" s="1"/>
  <c r="O174" i="1" a="1"/>
  <c r="O174" i="1" s="1"/>
  <c r="O286" i="1" a="1"/>
  <c r="O286" i="1" s="1"/>
  <c r="O140" i="1" a="1"/>
  <c r="O140" i="1" s="1"/>
  <c r="O202" i="1" a="1"/>
  <c r="O202" i="1" s="1"/>
  <c r="O282" i="1" a="1"/>
  <c r="O282" i="1" s="1"/>
  <c r="O100" i="1" a="1"/>
  <c r="O100" i="1" s="1"/>
  <c r="O196" i="1" a="1"/>
  <c r="O196" i="1" s="1"/>
  <c r="O278" i="1" a="1"/>
  <c r="O278" i="1" s="1"/>
  <c r="O360" i="1" a="1"/>
  <c r="O360" i="1" s="1"/>
  <c r="O207" i="1" a="1"/>
  <c r="O207" i="1" s="1"/>
  <c r="O58" i="1" a="1"/>
  <c r="O58" i="1" s="1"/>
  <c r="O262" i="1" a="1"/>
  <c r="O262" i="1" s="1"/>
  <c r="O398" i="1" a="1"/>
  <c r="O398" i="1" s="1"/>
  <c r="O377" i="1" a="1"/>
  <c r="O377" i="1" s="1"/>
  <c r="O30" i="1" a="1"/>
  <c r="O30" i="1" s="1"/>
  <c r="O288" i="1" a="1"/>
  <c r="O288" i="1" s="1"/>
  <c r="O415" i="1" a="1"/>
  <c r="O415" i="1" s="1"/>
  <c r="O126" i="1" a="1"/>
  <c r="O126" i="1" s="1"/>
  <c r="O352" i="1" a="1"/>
  <c r="O352" i="1" s="1"/>
  <c r="O216" i="1" a="1"/>
  <c r="O216" i="1" s="1"/>
  <c r="O270" i="1" a="1"/>
  <c r="O270" i="1" s="1"/>
  <c r="O408" i="1" a="1"/>
  <c r="O408" i="1" s="1"/>
  <c r="O233" i="1" a="1"/>
  <c r="O233" i="1" s="1"/>
  <c r="O164" i="1" a="1"/>
  <c r="O164" i="1" s="1"/>
  <c r="O232" i="1" a="1"/>
  <c r="O232" i="1" s="1"/>
  <c r="O294" i="1" a="1"/>
  <c r="O294" i="1" s="1"/>
  <c r="O231" i="1" a="1"/>
  <c r="O231" i="1" s="1"/>
  <c r="O355" i="1" a="1"/>
  <c r="O355" i="1" s="1"/>
  <c r="O54" i="1" a="1"/>
  <c r="O54" i="1" s="1"/>
  <c r="O418" i="1" a="1"/>
  <c r="O418" i="1" s="1"/>
  <c r="O87" i="1" a="1"/>
  <c r="O87" i="1" s="1"/>
  <c r="O246" i="1" a="1"/>
  <c r="O246" i="1" s="1"/>
  <c r="O53" i="1" a="1"/>
  <c r="O53" i="1" s="1"/>
  <c r="O338" i="1" a="1"/>
  <c r="O338" i="1" s="1"/>
  <c r="O266" i="1" a="1"/>
  <c r="O266" i="1" s="1"/>
  <c r="O218" i="1" a="1"/>
  <c r="O218" i="1" s="1"/>
  <c r="O319" i="1" a="1"/>
  <c r="O319" i="1" s="1"/>
  <c r="O228" i="1" a="1"/>
  <c r="O228" i="1" s="1"/>
  <c r="O423" i="1" a="1"/>
  <c r="O423" i="1" s="1"/>
  <c r="O343" i="1" a="1"/>
  <c r="O343" i="1" s="1"/>
  <c r="O245" i="1" a="1"/>
  <c r="O245" i="1" s="1"/>
  <c r="O439" i="1" a="1"/>
  <c r="O439" i="1" s="1"/>
  <c r="O391" i="1" a="1"/>
  <c r="O391" i="1" s="1"/>
  <c r="O242" i="1" a="1"/>
  <c r="O242" i="1" s="1"/>
  <c r="O129" i="1" a="1"/>
  <c r="O129" i="1" s="1"/>
  <c r="O82" i="1" a="1"/>
  <c r="O82" i="1" s="1"/>
  <c r="O35" i="1" a="1"/>
  <c r="O35" i="1" s="1"/>
  <c r="O367" i="1" a="1"/>
  <c r="O367" i="1" s="1"/>
  <c r="O387" i="1" a="1"/>
  <c r="O387" i="1" s="1"/>
  <c r="O417" i="1" a="1"/>
  <c r="O417" i="1" s="1"/>
  <c r="O344" i="1" a="1"/>
  <c r="O344" i="1" s="1"/>
  <c r="O215" i="1" a="1"/>
  <c r="O215" i="1" s="1"/>
  <c r="O333" i="1" a="1"/>
  <c r="O333" i="1" s="1"/>
  <c r="O388" i="1" a="1"/>
  <c r="O388" i="1" s="1"/>
  <c r="O267" i="1" a="1"/>
  <c r="O267" i="1" s="1"/>
  <c r="O237" i="1" a="1"/>
  <c r="O237" i="1" s="1"/>
  <c r="O200" i="1" a="1"/>
  <c r="O200" i="1" s="1"/>
  <c r="O370" i="1" a="1"/>
  <c r="O370" i="1" s="1"/>
  <c r="O328" i="1" a="1"/>
  <c r="O328" i="1" s="1"/>
  <c r="O179" i="1" a="1"/>
  <c r="O179" i="1" s="1"/>
  <c r="O251" i="1" a="1"/>
  <c r="O251" i="1" s="1"/>
  <c r="O347" i="1" a="1"/>
  <c r="O347" i="1" s="1"/>
  <c r="O276" i="1" a="1"/>
  <c r="O276" i="1" s="1"/>
  <c r="O432" i="1" a="1"/>
  <c r="O432" i="1" s="1"/>
  <c r="O385" i="1" a="1"/>
  <c r="O385" i="1" s="1"/>
  <c r="O199" i="1" a="1"/>
  <c r="O199" i="1" s="1"/>
  <c r="O376" i="1" a="1"/>
  <c r="O376" i="1" s="1"/>
  <c r="O39" i="1" a="1"/>
  <c r="O39" i="1" s="1"/>
  <c r="O407" i="1" a="1"/>
  <c r="O407" i="1" s="1"/>
  <c r="O167" i="1" a="1"/>
  <c r="O167" i="1" s="1"/>
  <c r="O138" i="1" a="1"/>
  <c r="O138" i="1" s="1"/>
  <c r="O374" i="1" a="1"/>
  <c r="O374" i="1" s="1"/>
  <c r="O227" i="1" a="1"/>
  <c r="O227" i="1" s="1"/>
  <c r="O31" i="1" a="1"/>
  <c r="O31" i="1" s="1"/>
  <c r="O405" i="1" a="1"/>
  <c r="O405" i="1" s="1"/>
  <c r="O60" i="1" a="1"/>
  <c r="O60" i="1" s="1"/>
  <c r="O284" i="1" a="1"/>
  <c r="O284" i="1" s="1"/>
  <c r="O144" i="1" a="1"/>
  <c r="O144" i="1" s="1"/>
  <c r="O332" i="1" a="1"/>
  <c r="O332" i="1" s="1"/>
  <c r="O364" i="1" a="1"/>
  <c r="O364" i="1" s="1"/>
  <c r="O157" i="1" a="1"/>
  <c r="O157" i="1" s="1"/>
  <c r="O210" i="1" a="1"/>
  <c r="O210" i="1" s="1"/>
  <c r="O349" i="1" a="1"/>
  <c r="O349" i="1" s="1"/>
  <c r="O94" i="1" a="1"/>
  <c r="O94" i="1" s="1"/>
  <c r="O33" i="1" a="1"/>
  <c r="O33" i="1" s="1"/>
  <c r="O365" i="1" a="1"/>
  <c r="O365" i="1" s="1"/>
  <c r="O214" i="1" a="1"/>
  <c r="O214" i="1" s="1"/>
  <c r="O159" i="1" a="1"/>
  <c r="O159" i="1" s="1"/>
  <c r="O112" i="1" a="1"/>
  <c r="O112" i="1" s="1"/>
  <c r="O438" i="1" a="1"/>
  <c r="O438" i="1" s="1"/>
  <c r="O402" i="1" a="1"/>
  <c r="O402" i="1" s="1"/>
  <c r="O134" i="1" a="1"/>
  <c r="O134" i="1" s="1"/>
  <c r="O226" i="1" a="1"/>
  <c r="O226" i="1" s="1"/>
  <c r="O392" i="1" a="1"/>
  <c r="O392" i="1" s="1"/>
  <c r="O62" i="1" a="1"/>
  <c r="O62" i="1" s="1"/>
  <c r="O381" i="1" a="1"/>
  <c r="O381" i="1" s="1"/>
  <c r="O269" i="1" a="1"/>
  <c r="O269" i="1" s="1"/>
  <c r="O316" i="1" a="1"/>
  <c r="O316" i="1" s="1"/>
  <c r="O285" i="1" a="1"/>
  <c r="O285" i="1" s="1"/>
  <c r="O263" i="1" a="1"/>
  <c r="O263" i="1" s="1"/>
  <c r="O303" i="1" a="1"/>
  <c r="O303" i="1" s="1"/>
  <c r="O180" i="1" a="1"/>
  <c r="O180" i="1" s="1"/>
  <c r="O135" i="1" a="1"/>
  <c r="O135" i="1" s="1"/>
  <c r="O314" i="1" a="1"/>
  <c r="O314" i="1" s="1"/>
  <c r="O141" i="1" a="1"/>
  <c r="O141" i="1" s="1"/>
  <c r="O22" i="1" a="1"/>
  <c r="O22" i="1" s="1"/>
  <c r="O334" i="1" a="1"/>
  <c r="O334" i="1" s="1"/>
  <c r="O16" i="1" a="1"/>
  <c r="O16" i="1" s="1"/>
  <c r="O77" i="1" a="1"/>
  <c r="O77" i="1" s="1"/>
  <c r="O188" i="1" a="1"/>
  <c r="O188" i="1" s="1"/>
  <c r="O354" i="1" a="1"/>
  <c r="O354" i="1" s="1"/>
  <c r="O411" i="1" a="1"/>
  <c r="O411" i="1" s="1"/>
  <c r="O426" i="1" a="1"/>
  <c r="O426" i="1" s="1"/>
  <c r="O68" i="1" a="1"/>
  <c r="O68" i="1" s="1"/>
  <c r="O353" i="1" a="1"/>
  <c r="O353" i="1" s="1"/>
  <c r="O105" i="1" a="1"/>
  <c r="O105" i="1" s="1"/>
  <c r="O65" i="1" a="1"/>
  <c r="O65" i="1" s="1"/>
  <c r="O317" i="1" a="1"/>
  <c r="O317" i="1" s="1"/>
  <c r="O306" i="1" a="1"/>
  <c r="O306" i="1" s="1"/>
  <c r="O43" i="1" a="1"/>
  <c r="O43" i="1" s="1"/>
  <c r="O248" i="1" a="1"/>
  <c r="O248" i="1" s="1"/>
  <c r="O184" i="1" a="1"/>
  <c r="O184" i="1" s="1"/>
  <c r="O104" i="1" a="1"/>
  <c r="O104" i="1" s="1"/>
  <c r="O424" i="1" a="1"/>
  <c r="O424" i="1" s="1"/>
  <c r="O78" i="1" a="1"/>
  <c r="O78" i="1" s="1"/>
  <c r="O197" i="1" a="1"/>
  <c r="O197" i="1" s="1"/>
  <c r="O19" i="1" a="1"/>
  <c r="O19" i="1" s="1"/>
  <c r="O389" i="1" a="1"/>
  <c r="O389" i="1" s="1"/>
  <c r="O34" i="1" a="1"/>
  <c r="O34" i="1" s="1"/>
  <c r="O72" i="1" a="1"/>
  <c r="O72" i="1" s="1"/>
  <c r="O255" i="1" a="1"/>
  <c r="O255" i="1" s="1"/>
  <c r="O185" i="1" a="1"/>
  <c r="O185" i="1" s="1"/>
  <c r="O421" i="1" a="1"/>
  <c r="O421" i="1" s="1"/>
  <c r="O358" i="1" a="1"/>
  <c r="O358" i="1" s="1"/>
  <c r="O220" i="1" a="1"/>
  <c r="O220" i="1" s="1"/>
  <c r="O241" i="1" a="1"/>
  <c r="O241" i="1" s="1"/>
  <c r="O109" i="1" a="1"/>
  <c r="O109" i="1" s="1"/>
  <c r="O222" i="1" a="1"/>
  <c r="O222" i="1" s="1"/>
  <c r="O128" i="1" a="1"/>
  <c r="O128" i="1" s="1"/>
  <c r="O384" i="1" a="1"/>
  <c r="O384" i="1" s="1"/>
  <c r="O127" i="1" a="1"/>
  <c r="O127" i="1" s="1"/>
  <c r="O122" i="1" a="1"/>
  <c r="O122" i="1" s="1"/>
  <c r="O102" i="1" a="1"/>
  <c r="O102" i="1" s="1"/>
  <c r="O274" i="1" a="1"/>
  <c r="O274" i="1" s="1"/>
  <c r="O186" i="1" a="1"/>
  <c r="O186" i="1" s="1"/>
  <c r="O238" i="1" a="1"/>
  <c r="O238" i="1" s="1"/>
  <c r="O67" i="1" a="1"/>
  <c r="O67" i="1" s="1"/>
  <c r="O117" i="1" a="1"/>
  <c r="O117" i="1" s="1"/>
  <c r="O125" i="1" a="1"/>
  <c r="O125" i="1" s="1"/>
  <c r="O131" i="1" a="1"/>
  <c r="O131" i="1" s="1"/>
  <c r="O414" i="1" a="1"/>
  <c r="O414" i="1" s="1"/>
  <c r="O396" i="1" a="1"/>
  <c r="O396" i="1" s="1"/>
  <c r="O256" i="1" a="1"/>
  <c r="O256" i="1" s="1"/>
  <c r="O201" i="1" a="1"/>
  <c r="O201" i="1" s="1"/>
  <c r="O395" i="1" a="1"/>
  <c r="O395" i="1" s="1"/>
  <c r="O25" i="1" a="1"/>
  <c r="O25" i="1" s="1"/>
  <c r="O57" i="1" a="1"/>
  <c r="O57" i="1" s="1"/>
  <c r="O223" i="1" a="1"/>
  <c r="O223" i="1" s="1"/>
  <c r="O181" i="1" a="1"/>
  <c r="O181" i="1" s="1"/>
  <c r="O89" i="1" a="1"/>
  <c r="O89" i="1" s="1"/>
  <c r="O394" i="1" a="1"/>
  <c r="O394" i="1" s="1"/>
  <c r="O240" i="1" a="1"/>
  <c r="O240" i="1" s="1"/>
  <c r="O11" i="1" a="1"/>
  <c r="O11" i="1" s="1"/>
  <c r="O29" i="1" a="1"/>
  <c r="O29" i="1" s="1"/>
  <c r="O369" i="1" a="1"/>
  <c r="O369" i="1" s="1"/>
  <c r="O310" i="1" a="1"/>
  <c r="O310" i="1" s="1"/>
  <c r="O148" i="1" a="1"/>
  <c r="O148" i="1" s="1"/>
  <c r="O26" i="1" a="1"/>
  <c r="O26" i="1" s="1"/>
  <c r="O268" i="1" a="1"/>
  <c r="O268" i="1" s="1"/>
  <c r="O173" i="1" a="1"/>
  <c r="O173" i="1" s="1"/>
  <c r="O97" i="1" a="1"/>
  <c r="O97" i="1" s="1"/>
  <c r="O195" i="1" a="1"/>
  <c r="O195" i="1" s="1"/>
  <c r="O198" i="1" a="1"/>
  <c r="O198" i="1" s="1"/>
  <c r="O23" i="1" a="1"/>
  <c r="O23" i="1" s="1"/>
  <c r="O171" i="1" a="1"/>
  <c r="O171" i="1" s="1"/>
  <c r="O336" i="1" a="1"/>
  <c r="O336" i="1" s="1"/>
  <c r="O111" i="1" a="1"/>
  <c r="O111" i="1" s="1"/>
  <c r="O49" i="1" a="1"/>
  <c r="O49" i="1" s="1"/>
  <c r="O217" i="1" a="1"/>
  <c r="O217" i="1" s="1"/>
  <c r="O428" i="1" a="1"/>
  <c r="O428" i="1" s="1"/>
  <c r="O187" i="1" a="1"/>
  <c r="O187" i="1" s="1"/>
  <c r="O151" i="1" a="1"/>
  <c r="O151" i="1" s="1"/>
  <c r="O64" i="1" a="1"/>
  <c r="O64" i="1" s="1"/>
  <c r="O359" i="1" a="1"/>
  <c r="O359" i="1" s="1"/>
  <c r="O363" i="1" a="1"/>
  <c r="O363" i="1" s="1"/>
  <c r="O119" i="1" a="1"/>
  <c r="O119" i="1" s="1"/>
  <c r="O324" i="1" a="1"/>
  <c r="O324" i="1" s="1"/>
  <c r="O118" i="1" a="1"/>
  <c r="O118" i="1" s="1"/>
  <c r="O32" i="1" a="1"/>
  <c r="O32" i="1" s="1"/>
  <c r="O318" i="1" a="1"/>
  <c r="O318" i="1" s="1"/>
  <c r="O120" i="1" a="1"/>
  <c r="O120" i="1" s="1"/>
  <c r="O208" i="1" a="1"/>
  <c r="O208" i="1" s="1"/>
  <c r="O50" i="1" a="1"/>
  <c r="O50" i="1" s="1"/>
  <c r="O12" i="1" a="1"/>
  <c r="O12" i="1" s="1"/>
  <c r="O340" i="1" a="1"/>
  <c r="O340" i="1" s="1"/>
  <c r="O41" i="1" a="1"/>
  <c r="O41" i="1" s="1"/>
  <c r="O189" i="1" a="1"/>
  <c r="O189" i="1" s="1"/>
  <c r="O69" i="1" a="1"/>
  <c r="O69" i="1" s="1"/>
  <c r="O113" i="1" a="1"/>
  <c r="O113" i="1" s="1"/>
  <c r="O412" i="1" a="1"/>
  <c r="O412" i="1" s="1"/>
  <c r="O440" i="1" a="1"/>
  <c r="O440" i="1" s="1"/>
  <c r="O56" i="1" a="1"/>
  <c r="O56" i="1" s="1"/>
  <c r="O37" i="1" a="1"/>
  <c r="O37" i="1" s="1"/>
  <c r="O143" i="1" a="1"/>
  <c r="O143" i="1" s="1"/>
  <c r="O254" i="1" a="1"/>
  <c r="O254" i="1" s="1"/>
  <c r="O90" i="1" a="1"/>
  <c r="O90" i="1" s="1"/>
  <c r="O225" i="1" a="1"/>
  <c r="O225" i="1" s="1"/>
  <c r="O93" i="1" a="1"/>
  <c r="O93" i="1" s="1"/>
  <c r="O71" i="1" a="1"/>
  <c r="O71" i="1" s="1"/>
  <c r="O96" i="1" a="1"/>
  <c r="O96" i="1" s="1"/>
  <c r="O101" i="1" a="1"/>
  <c r="O101" i="1" s="1"/>
  <c r="O13" i="1" a="1"/>
  <c r="O13" i="1" s="1"/>
  <c r="O160" i="1" a="1"/>
  <c r="O160" i="1" s="1"/>
  <c r="O83" i="1" a="1"/>
  <c r="O83" i="1" s="1"/>
  <c r="O27" i="1" a="1"/>
  <c r="O27" i="1" s="1"/>
  <c r="O341" i="1" a="1"/>
  <c r="O341" i="1" s="1"/>
  <c r="O416" i="1" a="1"/>
  <c r="O416" i="1" s="1"/>
  <c r="O425" i="1" a="1"/>
  <c r="O425" i="1" s="1"/>
  <c r="O249" i="1" a="1"/>
  <c r="O249" i="1" s="1"/>
  <c r="O4" i="1" a="1"/>
  <c r="O4" i="1" s="1"/>
  <c r="O302" i="1" a="1"/>
  <c r="O302" i="1" s="1"/>
  <c r="O165" i="1" a="1"/>
  <c r="O165" i="1" s="1"/>
  <c r="O253" i="1" a="1"/>
  <c r="O253" i="1" s="1"/>
  <c r="O107" i="1" a="1"/>
  <c r="O107" i="1" s="1"/>
  <c r="O339" i="1" a="1"/>
  <c r="O339" i="1" s="1"/>
  <c r="O258" i="1" a="1"/>
  <c r="O258" i="1" s="1"/>
  <c r="O291" i="1" a="1"/>
  <c r="O291" i="1" s="1"/>
  <c r="O211" i="1" a="1"/>
  <c r="O211" i="1" s="1"/>
  <c r="O292" i="1" a="1"/>
  <c r="O292" i="1" s="1"/>
  <c r="O80" i="1" a="1"/>
  <c r="O80" i="1" s="1"/>
  <c r="O290" i="1" a="1"/>
  <c r="O290" i="1" s="1"/>
  <c r="O346" i="1" a="1"/>
  <c r="O346" i="1" s="1"/>
  <c r="O108" i="1" a="1"/>
  <c r="O108" i="1" s="1"/>
  <c r="O73" i="1" a="1"/>
  <c r="O73" i="1" s="1"/>
  <c r="O325" i="1" a="1"/>
  <c r="O325" i="1" s="1"/>
  <c r="O15" i="1" a="1"/>
  <c r="O15" i="1" s="1"/>
  <c r="O194" i="1" a="1"/>
  <c r="O194" i="1" s="1"/>
  <c r="O265" i="1" a="1"/>
  <c r="O265" i="1" s="1"/>
  <c r="O413" i="1" a="1"/>
  <c r="O413" i="1" s="1"/>
  <c r="O297" i="1" a="1"/>
  <c r="O297" i="1" s="1"/>
  <c r="O257" i="1" a="1"/>
  <c r="O257" i="1" s="1"/>
  <c r="O279" i="1" a="1"/>
  <c r="O279" i="1" s="1"/>
  <c r="O88" i="1" a="1"/>
  <c r="O88" i="1" s="1"/>
  <c r="O7" i="1" a="1"/>
  <c r="O7" i="1" s="1"/>
  <c r="O18" i="1" a="1"/>
  <c r="O18" i="1" s="1"/>
  <c r="O86" i="1" a="1"/>
  <c r="O86" i="1" s="1"/>
  <c r="O235" i="1" a="1"/>
  <c r="O235" i="1" s="1"/>
  <c r="O293" i="1" a="1"/>
  <c r="O293" i="1" s="1"/>
  <c r="O46" i="1" a="1"/>
  <c r="O46" i="1" s="1"/>
  <c r="O92" i="1" a="1"/>
  <c r="O92" i="1" s="1"/>
  <c r="O331" i="1" a="1"/>
  <c r="O331" i="1" s="1"/>
  <c r="O410" i="1" a="1"/>
  <c r="O410" i="1" s="1"/>
  <c r="O379" i="1" a="1"/>
  <c r="O379" i="1" s="1"/>
  <c r="O260" i="1" a="1"/>
  <c r="O260" i="1" s="1"/>
  <c r="O63" i="1" a="1"/>
  <c r="O63" i="1" s="1"/>
  <c r="O121" i="1" a="1"/>
  <c r="O121" i="1" s="1"/>
  <c r="O84" i="1" a="1"/>
  <c r="O84" i="1" s="1"/>
  <c r="O259" i="1" a="1"/>
  <c r="O259" i="1" s="1"/>
  <c r="O209" i="1" a="1"/>
  <c r="O209" i="1" s="1"/>
  <c r="O193" i="1" a="1"/>
  <c r="O193" i="1" s="1"/>
  <c r="O36" i="1" a="1"/>
  <c r="O36" i="1" s="1"/>
  <c r="O366" i="1" a="1"/>
  <c r="O366" i="1" s="1"/>
  <c r="O289" i="1" a="1"/>
  <c r="O289" i="1" s="1"/>
  <c r="O213" i="1" a="1"/>
  <c r="O213" i="1" s="1"/>
  <c r="O8" i="1" a="1"/>
  <c r="O8" i="1" s="1"/>
  <c r="O3" i="1" a="1"/>
  <c r="O3" i="1" s="1"/>
  <c r="O6" i="1" a="1"/>
  <c r="O6" i="1" s="1"/>
  <c r="O273" i="1" a="1"/>
  <c r="O273" i="1" s="1"/>
  <c r="O239" i="1" a="1"/>
  <c r="O239" i="1" s="1"/>
  <c r="O224" i="1" a="1"/>
  <c r="O224" i="1" s="1"/>
  <c r="O348" i="1" a="1"/>
  <c r="O348" i="1" s="1"/>
  <c r="O91" i="1" a="1"/>
  <c r="O91" i="1" s="1"/>
  <c r="O45" i="1" a="1"/>
  <c r="O45" i="1" s="1"/>
  <c r="O170" i="1" a="1"/>
  <c r="O170" i="1" s="1"/>
  <c r="O320" i="1" a="1"/>
  <c r="O320" i="1" s="1"/>
  <c r="O311" i="1" a="1"/>
  <c r="O311" i="1" s="1"/>
  <c r="O304" i="1" a="1"/>
  <c r="O304" i="1" s="1"/>
  <c r="O307" i="1" a="1"/>
  <c r="O307" i="1" s="1"/>
  <c r="O75" i="1" a="1"/>
  <c r="O75" i="1" s="1"/>
  <c r="O66" i="1" a="1"/>
  <c r="O66" i="1" s="1"/>
  <c r="O137" i="1" a="1"/>
  <c r="O137" i="1" s="1"/>
  <c r="O368" i="1" a="1"/>
  <c r="O368" i="1" s="1"/>
  <c r="O308" i="1" a="1"/>
  <c r="O308" i="1" s="1"/>
  <c r="O2" i="1" a="1"/>
  <c r="O2" i="1" s="1"/>
  <c r="O404" i="1" a="1"/>
  <c r="O404" i="1" s="1"/>
  <c r="O335" i="1" a="1"/>
  <c r="O335" i="1" s="1"/>
  <c r="O212" i="1" a="1"/>
  <c r="O212" i="1" s="1"/>
  <c r="O361" i="1" a="1"/>
  <c r="O361" i="1" s="1"/>
  <c r="O52" i="1" a="1"/>
  <c r="O52" i="1" s="1"/>
  <c r="O205" i="1" a="1"/>
  <c r="O205" i="1" s="1"/>
  <c r="O81" i="1" a="1"/>
  <c r="O81" i="1" s="1"/>
  <c r="O150" i="1" a="1"/>
  <c r="O150" i="1" s="1"/>
  <c r="O219" i="1" a="1"/>
  <c r="O219" i="1" s="1"/>
  <c r="O372" i="1" a="1"/>
  <c r="O372" i="1" s="1"/>
  <c r="O149" i="1" a="1"/>
  <c r="O149" i="1" s="1"/>
  <c r="O300" i="1" a="1"/>
  <c r="O300" i="1" s="1"/>
  <c r="O301" i="1" a="1"/>
  <c r="O301" i="1" s="1"/>
  <c r="O283" i="1" a="1"/>
  <c r="O283" i="1" s="1"/>
  <c r="O178" i="1" a="1"/>
  <c r="O178" i="1" s="1"/>
  <c r="O132" i="1" a="1"/>
  <c r="O132" i="1" s="1"/>
  <c r="O136" i="1" a="1"/>
  <c r="O136" i="1" s="1"/>
  <c r="O147" i="1" a="1"/>
  <c r="O147" i="1" s="1"/>
  <c r="O20" i="1" a="1"/>
  <c r="O20" i="1" s="1"/>
  <c r="O70" i="1" a="1"/>
  <c r="O70" i="1" s="1"/>
  <c r="O61" i="1" a="1"/>
  <c r="O61" i="1" s="1"/>
  <c r="O323" i="1" a="1"/>
  <c r="O323" i="1" s="1"/>
  <c r="O204" i="1" a="1"/>
  <c r="O204" i="1" s="1"/>
  <c r="O229" i="1" a="1"/>
  <c r="O229" i="1" s="1"/>
  <c r="O264" i="1" a="1"/>
  <c r="O264" i="1" s="1"/>
  <c r="O14" i="1" a="1"/>
  <c r="O14" i="1" s="1"/>
  <c r="O5" i="1" a="1"/>
  <c r="O5" i="1" s="1"/>
  <c r="O162" i="1" a="1"/>
  <c r="O162" i="1" s="1"/>
  <c r="O130" i="1" a="1"/>
  <c r="O130" i="1" s="1"/>
  <c r="O409" i="1" a="1"/>
  <c r="O409" i="1" s="1"/>
  <c r="O203" i="1" a="1"/>
  <c r="O203" i="1" s="1"/>
  <c r="O406" i="1" a="1"/>
  <c r="O406" i="1" s="1"/>
  <c r="O403" i="1" a="1"/>
  <c r="O403" i="1" s="1"/>
  <c r="O175" i="1" a="1"/>
  <c r="O175" i="1" s="1"/>
  <c r="O172" i="1" a="1"/>
  <c r="O172" i="1" s="1"/>
  <c r="O163" i="1" a="1"/>
  <c r="O163" i="1" s="1"/>
  <c r="O261" i="1" a="1"/>
  <c r="O261" i="1" s="1"/>
  <c r="O400" i="1" a="1"/>
  <c r="O400" i="1" s="1"/>
  <c r="O371" i="1" a="1"/>
  <c r="O371" i="1" s="1"/>
  <c r="O315" i="1" a="1"/>
  <c r="O315" i="1" s="1"/>
  <c r="O299" i="1" a="1"/>
  <c r="O299" i="1" s="1"/>
  <c r="O74" i="1" a="1"/>
  <c r="O74" i="1" s="1"/>
  <c r="O38" i="1" a="1"/>
  <c r="O38" i="1" s="1"/>
  <c r="O21" i="1" a="1"/>
  <c r="O21" i="1" s="1"/>
  <c r="O345" i="1" a="1"/>
  <c r="O345" i="1" s="1"/>
  <c r="O351" i="1" a="1"/>
  <c r="O351" i="1" s="1"/>
  <c r="O110" i="1" a="1"/>
  <c r="O110" i="1" s="1"/>
  <c r="O250" i="1" a="1"/>
  <c r="O250" i="1" s="1"/>
  <c r="O9" i="1" a="1"/>
  <c r="O9" i="1" s="1"/>
  <c r="O296" i="1" a="1"/>
  <c r="O296" i="1" s="1"/>
  <c r="O298" i="1" a="1"/>
  <c r="O298" i="1" s="1"/>
  <c r="O28" i="1" a="1"/>
  <c r="O28" i="1" s="1"/>
  <c r="O271" i="1" a="1"/>
  <c r="O271" i="1" s="1"/>
  <c r="O380" i="1" a="1"/>
  <c r="O380" i="1" s="1"/>
  <c r="O309" i="1" a="1"/>
  <c r="O309" i="1" s="1"/>
  <c r="O124" i="1" a="1"/>
  <c r="O124" i="1" s="1"/>
  <c r="O146" i="1" a="1"/>
  <c r="O146" i="1" s="1"/>
  <c r="O192" i="1" a="1"/>
  <c r="O192" i="1" s="1"/>
  <c r="O176" i="1" a="1"/>
  <c r="O176" i="1" s="1"/>
  <c r="O386" i="1" a="1"/>
  <c r="O386" i="1" s="1"/>
  <c r="O327" i="1" a="1"/>
  <c r="O327" i="1" s="1"/>
  <c r="O313" i="1" a="1"/>
  <c r="O313" i="1" s="1"/>
  <c r="O305" i="1" a="1"/>
  <c r="O305" i="1" s="1"/>
  <c r="O10" i="1" a="1"/>
  <c r="O10" i="1" s="1"/>
  <c r="O330" i="1" a="1"/>
  <c r="O330" i="1" s="1"/>
  <c r="O85" i="1" a="1"/>
  <c r="O85" i="1" s="1"/>
  <c r="O390" i="1" a="1"/>
  <c r="O390" i="1" s="1"/>
  <c r="O156" i="1" a="1"/>
  <c r="O156" i="1" s="1"/>
  <c r="O191" i="1" a="1"/>
  <c r="O191" i="1" s="1"/>
  <c r="O280" i="1" a="1"/>
  <c r="O280" i="1" s="1"/>
  <c r="O434" i="1" a="1"/>
  <c r="O434" i="1" s="1"/>
  <c r="O123" i="1" a="1"/>
  <c r="O123" i="1" s="1"/>
  <c r="O321" i="1" a="1"/>
  <c r="O321" i="1" s="1"/>
  <c r="O114" i="1" a="1"/>
  <c r="O114" i="1" s="1"/>
  <c r="O55" i="1" a="1"/>
  <c r="O55" i="1" s="1"/>
  <c r="O337" i="1" a="1"/>
  <c r="O337" i="1" s="1"/>
  <c r="O252" i="1" a="1"/>
  <c r="O252" i="1" s="1"/>
  <c r="O329" i="1" a="1"/>
  <c r="O329" i="1" s="1"/>
  <c r="O326" i="1" a="1"/>
  <c r="O326" i="1" s="1"/>
  <c r="O115" i="1" a="1"/>
  <c r="O115" i="1" s="1"/>
  <c r="O287" i="1" a="1"/>
  <c r="O287" i="1" s="1"/>
  <c r="O393" i="1" a="1"/>
  <c r="O393" i="1" s="1"/>
  <c r="O177" i="1" a="1"/>
  <c r="O177" i="1" s="1"/>
  <c r="O158" i="1" a="1"/>
  <c r="O158" i="1" s="1"/>
  <c r="O24" i="1" a="1"/>
  <c r="O24" i="1" s="1"/>
  <c r="O437" i="1" a="1"/>
  <c r="O437" i="1" s="1"/>
  <c r="L10" i="1"/>
  <c r="L330" i="1"/>
  <c r="L85" i="1"/>
  <c r="L390" i="1"/>
  <c r="L156" i="1"/>
  <c r="L191" i="1"/>
  <c r="L280" i="1"/>
  <c r="L434" i="1"/>
  <c r="L123" i="1"/>
  <c r="L321" i="1"/>
  <c r="L114" i="1"/>
  <c r="L55" i="1"/>
  <c r="L337" i="1"/>
  <c r="L252" i="1"/>
  <c r="L329" i="1"/>
  <c r="L326" i="1"/>
  <c r="L115" i="1"/>
  <c r="L287" i="1"/>
  <c r="L393" i="1"/>
  <c r="L177" i="1"/>
  <c r="L158" i="1"/>
  <c r="L24" i="1"/>
  <c r="M158" i="1"/>
  <c r="M24" i="1"/>
  <c r="M115" i="1"/>
  <c r="M393" i="1"/>
  <c r="M326" i="1"/>
  <c r="M252" i="1"/>
  <c r="M329" i="1"/>
  <c r="M337" i="1"/>
  <c r="M55" i="1"/>
  <c r="M114" i="1"/>
  <c r="M321" i="1"/>
  <c r="M191" i="1"/>
  <c r="M280" i="1"/>
  <c r="M434" i="1"/>
  <c r="M123" i="1"/>
  <c r="M390" i="1"/>
  <c r="M10" i="1"/>
  <c r="M330" i="1"/>
  <c r="M6" i="1" l="1"/>
  <c r="L6" i="1"/>
  <c r="M5" i="1"/>
  <c r="L5" i="1"/>
  <c r="M2" i="1"/>
  <c r="L2" i="1"/>
  <c r="M3" i="1"/>
  <c r="L3" i="1"/>
  <c r="M18" i="1"/>
  <c r="L18" i="1"/>
  <c r="L305" i="1"/>
  <c r="M307" i="1"/>
  <c r="L307" i="1"/>
  <c r="L298" i="1"/>
  <c r="M297" i="1"/>
  <c r="L297" i="1"/>
  <c r="L301" i="1"/>
  <c r="L296" i="1"/>
  <c r="M7" i="1"/>
  <c r="L7" i="1"/>
  <c r="M300" i="1"/>
  <c r="L300" i="1"/>
  <c r="M299" i="1"/>
  <c r="L299" i="1"/>
  <c r="M8" i="1"/>
  <c r="L8" i="1"/>
  <c r="M304" i="1"/>
  <c r="L304" i="1"/>
  <c r="M147" i="1"/>
  <c r="L147" i="1"/>
  <c r="M309" i="1"/>
  <c r="L309" i="1"/>
  <c r="M308" i="1"/>
  <c r="L308" i="1"/>
  <c r="M313" i="1"/>
  <c r="L313" i="1"/>
  <c r="M311" i="1"/>
  <c r="L311" i="1"/>
  <c r="M149" i="1"/>
  <c r="L149" i="1"/>
  <c r="M9" i="1"/>
  <c r="L9" i="1"/>
  <c r="M315" i="1"/>
  <c r="L315" i="1"/>
  <c r="M14" i="1"/>
  <c r="L14" i="1"/>
  <c r="L150" i="1"/>
  <c r="M261" i="1"/>
  <c r="L261" i="1"/>
  <c r="M212" i="1"/>
  <c r="L212" i="1"/>
  <c r="L213" i="1"/>
  <c r="M20" i="1"/>
  <c r="L20" i="1"/>
  <c r="M21" i="1"/>
  <c r="L21" i="1"/>
  <c r="M219" i="1"/>
  <c r="L219" i="1"/>
  <c r="M292" i="1"/>
  <c r="L292" i="1"/>
  <c r="M279" i="1"/>
  <c r="L279" i="1"/>
  <c r="M224" i="1"/>
  <c r="L224" i="1"/>
  <c r="M162" i="1"/>
  <c r="L162" i="1"/>
  <c r="M163" i="1"/>
  <c r="L163" i="1"/>
  <c r="M335" i="1"/>
  <c r="L335" i="1"/>
  <c r="L264" i="1"/>
  <c r="M229" i="1"/>
  <c r="L229" i="1"/>
  <c r="M320" i="1"/>
  <c r="L320" i="1"/>
  <c r="L348" i="1"/>
  <c r="L170" i="1"/>
  <c r="M172" i="1"/>
  <c r="L172" i="1"/>
  <c r="M323" i="1"/>
  <c r="L323" i="1"/>
  <c r="M351" i="1"/>
  <c r="L351" i="1"/>
  <c r="L361" i="1"/>
  <c r="M379" i="1"/>
  <c r="L379" i="1"/>
  <c r="M325" i="1"/>
  <c r="L325" i="1"/>
  <c r="M327" i="1"/>
  <c r="L327" i="1"/>
  <c r="M366" i="1"/>
  <c r="L366" i="1"/>
  <c r="M265" i="1"/>
  <c r="L265" i="1"/>
  <c r="M386" i="1"/>
  <c r="L386" i="1"/>
  <c r="M413" i="1"/>
  <c r="L413" i="1"/>
  <c r="L409" i="1"/>
  <c r="M410" i="1"/>
  <c r="L410" i="1"/>
  <c r="M136" i="1"/>
  <c r="L136" i="1"/>
  <c r="M137" i="1"/>
  <c r="L137" i="1"/>
  <c r="M368" i="1"/>
  <c r="L368" i="1"/>
  <c r="L380" i="1"/>
  <c r="M175" i="1"/>
  <c r="L175" i="1"/>
  <c r="M176" i="1"/>
  <c r="L176" i="1"/>
  <c r="M178" i="1"/>
  <c r="L178" i="1"/>
  <c r="M331" i="1"/>
  <c r="L331" i="1"/>
  <c r="M371" i="1"/>
  <c r="L371" i="1"/>
  <c r="M372" i="1"/>
  <c r="L372" i="1"/>
  <c r="M293" i="1"/>
  <c r="L293" i="1"/>
  <c r="M235" i="1"/>
  <c r="L235" i="1"/>
  <c r="L239" i="1"/>
  <c r="M283" i="1"/>
  <c r="L283" i="1"/>
  <c r="M36" i="1"/>
  <c r="L36" i="1"/>
  <c r="M38" i="1"/>
  <c r="L38" i="1"/>
  <c r="M28" i="1"/>
  <c r="L28" i="1"/>
  <c r="M345" i="1"/>
  <c r="L345" i="1"/>
  <c r="M15" i="1"/>
  <c r="L15" i="1"/>
  <c r="M92" i="1"/>
  <c r="L92" i="1"/>
  <c r="M400" i="1"/>
  <c r="L400" i="1"/>
  <c r="L346" i="1"/>
  <c r="M403" i="1"/>
  <c r="L403" i="1"/>
  <c r="L250" i="1"/>
  <c r="L192" i="1"/>
  <c r="M45" i="1"/>
  <c r="L45" i="1"/>
  <c r="L193" i="1"/>
  <c r="M46" i="1"/>
  <c r="L46" i="1"/>
  <c r="L194" i="1"/>
  <c r="M52" i="1"/>
  <c r="L52" i="1"/>
  <c r="M61" i="1"/>
  <c r="L61" i="1"/>
  <c r="M63" i="1"/>
  <c r="L63" i="1"/>
  <c r="M66" i="1"/>
  <c r="L66" i="1"/>
  <c r="M70" i="1"/>
  <c r="L70" i="1"/>
  <c r="M80" i="1"/>
  <c r="L80" i="1"/>
  <c r="M146" i="1"/>
  <c r="L146" i="1"/>
  <c r="M73" i="1"/>
  <c r="L73" i="1"/>
  <c r="M74" i="1"/>
  <c r="L74" i="1"/>
  <c r="M203" i="1"/>
  <c r="L203" i="1"/>
  <c r="M204" i="1"/>
  <c r="L204" i="1"/>
  <c r="M75" i="1"/>
  <c r="L75" i="1"/>
  <c r="M205" i="1"/>
  <c r="L205" i="1"/>
  <c r="M81" i="1"/>
  <c r="L81" i="1"/>
  <c r="M84" i="1"/>
  <c r="L84" i="1"/>
  <c r="M86" i="1"/>
  <c r="L86" i="1"/>
  <c r="M88" i="1"/>
  <c r="L88" i="1"/>
  <c r="M209" i="1"/>
  <c r="L209" i="1"/>
  <c r="M257" i="1"/>
  <c r="L257" i="1"/>
  <c r="M259" i="1"/>
  <c r="L259" i="1"/>
  <c r="M260" i="1"/>
  <c r="L260" i="1"/>
  <c r="M271" i="1"/>
  <c r="L271" i="1"/>
  <c r="M91" i="1"/>
  <c r="L91" i="1"/>
  <c r="M108" i="1"/>
  <c r="L108" i="1"/>
  <c r="M110" i="1"/>
  <c r="L110" i="1"/>
  <c r="M121" i="1"/>
  <c r="L121" i="1"/>
  <c r="M124" i="1"/>
  <c r="L124" i="1"/>
  <c r="M130" i="1"/>
  <c r="L130" i="1"/>
  <c r="M132" i="1"/>
  <c r="L132" i="1"/>
  <c r="L289" i="1"/>
  <c r="M273" i="1"/>
  <c r="L273" i="1"/>
  <c r="M290" i="1"/>
  <c r="L290" i="1"/>
  <c r="M404" i="1"/>
  <c r="L404" i="1"/>
  <c r="L406" i="1"/>
  <c r="M211" i="1"/>
  <c r="L211" i="1"/>
  <c r="M291" i="1"/>
  <c r="L291" i="1"/>
  <c r="M258" i="1"/>
  <c r="L258" i="1"/>
  <c r="M339" i="1"/>
  <c r="L339" i="1"/>
  <c r="M107" i="1"/>
  <c r="L107" i="1"/>
  <c r="M253" i="1"/>
  <c r="L253" i="1"/>
  <c r="M165" i="1"/>
  <c r="L165" i="1"/>
  <c r="M302" i="1"/>
  <c r="L302" i="1"/>
  <c r="M4" i="1"/>
  <c r="L4" i="1"/>
  <c r="M249" i="1"/>
  <c r="L249" i="1"/>
  <c r="M425" i="1"/>
  <c r="L425" i="1"/>
  <c r="M416" i="1"/>
  <c r="L416" i="1"/>
  <c r="M341" i="1"/>
  <c r="L341" i="1"/>
  <c r="M27" i="1"/>
  <c r="L27" i="1"/>
  <c r="M83" i="1"/>
  <c r="L83" i="1"/>
  <c r="L160" i="1"/>
  <c r="M13" i="1"/>
  <c r="L13" i="1"/>
  <c r="M101" i="1"/>
  <c r="L101" i="1"/>
  <c r="M96" i="1"/>
  <c r="L96" i="1"/>
  <c r="M71" i="1"/>
  <c r="L71" i="1"/>
  <c r="M93" i="1"/>
  <c r="L93" i="1"/>
  <c r="L225" i="1"/>
  <c r="M90" i="1"/>
  <c r="L90" i="1"/>
  <c r="M254" i="1"/>
  <c r="L254" i="1"/>
  <c r="M143" i="1"/>
  <c r="L143" i="1"/>
  <c r="M37" i="1"/>
  <c r="L37" i="1"/>
  <c r="M56" i="1"/>
  <c r="L56" i="1"/>
  <c r="M440" i="1"/>
  <c r="L440" i="1"/>
  <c r="M412" i="1"/>
  <c r="L412" i="1"/>
  <c r="M113" i="1"/>
  <c r="L113" i="1"/>
  <c r="M69" i="1"/>
  <c r="L69" i="1"/>
  <c r="M189" i="1"/>
  <c r="L189" i="1"/>
  <c r="M41" i="1"/>
  <c r="L41" i="1"/>
  <c r="M340" i="1"/>
  <c r="L340" i="1"/>
  <c r="M12" i="1"/>
  <c r="L12" i="1"/>
  <c r="M50" i="1"/>
  <c r="L50" i="1"/>
  <c r="M208" i="1"/>
  <c r="L208" i="1"/>
  <c r="M120" i="1"/>
  <c r="L120" i="1"/>
  <c r="M318" i="1"/>
  <c r="L318" i="1"/>
  <c r="M32" i="1"/>
  <c r="L32" i="1"/>
  <c r="M118" i="1"/>
  <c r="L118" i="1"/>
  <c r="M324" i="1"/>
  <c r="L324" i="1"/>
  <c r="M119" i="1"/>
  <c r="L119" i="1"/>
  <c r="M363" i="1"/>
  <c r="L363" i="1"/>
  <c r="M359" i="1"/>
  <c r="L359" i="1"/>
  <c r="M64" i="1"/>
  <c r="L64" i="1"/>
  <c r="L151" i="1"/>
  <c r="L187" i="1"/>
  <c r="M428" i="1"/>
  <c r="L428" i="1"/>
  <c r="M217" i="1"/>
  <c r="L217" i="1"/>
  <c r="M49" i="1"/>
  <c r="L49" i="1"/>
  <c r="M111" i="1"/>
  <c r="L111" i="1"/>
  <c r="M336" i="1"/>
  <c r="L336" i="1"/>
  <c r="M171" i="1"/>
  <c r="L171" i="1"/>
  <c r="M23" i="1"/>
  <c r="L23" i="1"/>
  <c r="M198" i="1"/>
  <c r="L198" i="1"/>
  <c r="L195" i="1"/>
  <c r="M97" i="1"/>
  <c r="L97" i="1"/>
  <c r="L173" i="1"/>
  <c r="M268" i="1"/>
  <c r="L268" i="1"/>
  <c r="M26" i="1"/>
  <c r="L26" i="1"/>
  <c r="M148" i="1"/>
  <c r="L148" i="1"/>
  <c r="M310" i="1"/>
  <c r="L310" i="1"/>
  <c r="M369" i="1"/>
  <c r="L369" i="1"/>
  <c r="M29" i="1"/>
  <c r="L29" i="1"/>
  <c r="M11" i="1"/>
  <c r="L11" i="1"/>
  <c r="M240" i="1"/>
  <c r="L240" i="1"/>
  <c r="M394" i="1"/>
  <c r="L394" i="1"/>
  <c r="M89" i="1"/>
  <c r="L89" i="1"/>
  <c r="M181" i="1"/>
  <c r="L181" i="1"/>
  <c r="M223" i="1"/>
  <c r="L223" i="1"/>
  <c r="M57" i="1"/>
  <c r="L57" i="1"/>
  <c r="M25" i="1"/>
  <c r="L25" i="1"/>
  <c r="M395" i="1"/>
  <c r="L395" i="1"/>
  <c r="M201" i="1"/>
  <c r="L201" i="1"/>
  <c r="L256" i="1"/>
  <c r="M396" i="1"/>
  <c r="L396" i="1"/>
  <c r="M414" i="1"/>
  <c r="L414" i="1"/>
  <c r="M131" i="1"/>
  <c r="L131" i="1"/>
  <c r="M125" i="1"/>
  <c r="L125" i="1"/>
  <c r="M117" i="1"/>
  <c r="L117" i="1"/>
  <c r="M67" i="1"/>
  <c r="L67" i="1"/>
  <c r="M238" i="1"/>
  <c r="L238" i="1"/>
  <c r="M186" i="1"/>
  <c r="L186" i="1"/>
  <c r="M274" i="1"/>
  <c r="L274" i="1"/>
  <c r="M102" i="1"/>
  <c r="L102" i="1"/>
  <c r="M122" i="1"/>
  <c r="L122" i="1"/>
  <c r="M127" i="1"/>
  <c r="L127" i="1"/>
  <c r="M384" i="1"/>
  <c r="L384" i="1"/>
  <c r="M128" i="1"/>
  <c r="L128" i="1"/>
  <c r="M222" i="1"/>
  <c r="L222" i="1"/>
  <c r="M109" i="1"/>
  <c r="L109" i="1"/>
  <c r="M241" i="1"/>
  <c r="L241" i="1"/>
  <c r="M220" i="1"/>
  <c r="L220" i="1"/>
  <c r="M358" i="1"/>
  <c r="L358" i="1"/>
  <c r="M421" i="1"/>
  <c r="L421" i="1"/>
  <c r="M185" i="1"/>
  <c r="L185" i="1"/>
  <c r="M255" i="1"/>
  <c r="L255" i="1"/>
  <c r="M72" i="1"/>
  <c r="L72" i="1"/>
  <c r="M34" i="1"/>
  <c r="L34" i="1"/>
  <c r="M389" i="1"/>
  <c r="L389" i="1"/>
  <c r="M19" i="1"/>
  <c r="L19" i="1"/>
  <c r="M197" i="1"/>
  <c r="L197" i="1"/>
  <c r="M78" i="1"/>
  <c r="L78" i="1"/>
  <c r="M424" i="1"/>
  <c r="L424" i="1"/>
  <c r="M104" i="1"/>
  <c r="L104" i="1"/>
  <c r="M184" i="1"/>
  <c r="L184" i="1"/>
  <c r="M248" i="1"/>
  <c r="L248" i="1"/>
  <c r="M43" i="1"/>
  <c r="L43" i="1"/>
  <c r="M306" i="1"/>
  <c r="L306" i="1"/>
  <c r="M317" i="1"/>
  <c r="L317" i="1"/>
  <c r="M65" i="1"/>
  <c r="L65" i="1"/>
  <c r="M105" i="1"/>
  <c r="L105" i="1"/>
  <c r="M353" i="1"/>
  <c r="L353" i="1"/>
  <c r="M68" i="1"/>
  <c r="L68" i="1"/>
  <c r="M426" i="1"/>
  <c r="L426" i="1"/>
  <c r="M411" i="1"/>
  <c r="L411" i="1"/>
  <c r="M354" i="1"/>
  <c r="L354" i="1"/>
  <c r="M188" i="1"/>
  <c r="L188" i="1"/>
  <c r="M77" i="1"/>
  <c r="L77" i="1"/>
  <c r="M16" i="1"/>
  <c r="L16" i="1"/>
  <c r="M334" i="1"/>
  <c r="L334" i="1"/>
  <c r="M22" i="1"/>
  <c r="L22" i="1"/>
  <c r="M141" i="1"/>
  <c r="L141" i="1"/>
  <c r="M314" i="1"/>
  <c r="L314" i="1"/>
  <c r="M135" i="1"/>
  <c r="L135" i="1"/>
  <c r="M180" i="1"/>
  <c r="L180" i="1"/>
  <c r="M303" i="1"/>
  <c r="L303" i="1"/>
  <c r="M263" i="1"/>
  <c r="L263" i="1"/>
  <c r="L285" i="1"/>
  <c r="M316" i="1"/>
  <c r="L316" i="1"/>
  <c r="M269" i="1"/>
  <c r="L269" i="1"/>
  <c r="M381" i="1"/>
  <c r="L381" i="1"/>
  <c r="M62" i="1"/>
  <c r="L62" i="1"/>
  <c r="M392" i="1"/>
  <c r="L392" i="1"/>
  <c r="M226" i="1"/>
  <c r="L226" i="1"/>
  <c r="M134" i="1"/>
  <c r="L134" i="1"/>
  <c r="M402" i="1"/>
  <c r="L402" i="1"/>
  <c r="M438" i="1"/>
  <c r="L438" i="1"/>
  <c r="M112" i="1"/>
  <c r="L112" i="1"/>
  <c r="M159" i="1"/>
  <c r="L159" i="1"/>
  <c r="M214" i="1"/>
  <c r="L214" i="1"/>
  <c r="M365" i="1"/>
  <c r="L365" i="1"/>
  <c r="M33" i="1"/>
  <c r="L33" i="1"/>
  <c r="M94" i="1"/>
  <c r="L94" i="1"/>
  <c r="M349" i="1"/>
  <c r="L349" i="1"/>
  <c r="M210" i="1"/>
  <c r="L210" i="1"/>
  <c r="M157" i="1"/>
  <c r="L157" i="1"/>
  <c r="M364" i="1"/>
  <c r="L364" i="1"/>
  <c r="M332" i="1"/>
  <c r="L332" i="1"/>
  <c r="M144" i="1"/>
  <c r="L144" i="1"/>
  <c r="M284" i="1"/>
  <c r="L284" i="1"/>
  <c r="M60" i="1"/>
  <c r="L60" i="1"/>
  <c r="M405" i="1"/>
  <c r="L405" i="1"/>
  <c r="M31" i="1"/>
  <c r="L31" i="1"/>
  <c r="M227" i="1"/>
  <c r="L227" i="1"/>
  <c r="M374" i="1"/>
  <c r="L374" i="1"/>
  <c r="M138" i="1"/>
  <c r="L138" i="1"/>
  <c r="L167" i="1"/>
  <c r="M407" i="1"/>
  <c r="L407" i="1"/>
  <c r="M39" i="1"/>
  <c r="L39" i="1"/>
  <c r="M376" i="1"/>
  <c r="L376" i="1"/>
  <c r="L199" i="1"/>
  <c r="M385" i="1"/>
  <c r="L385" i="1"/>
  <c r="M432" i="1"/>
  <c r="L432" i="1"/>
  <c r="M276" i="1"/>
  <c r="L276" i="1"/>
  <c r="M347" i="1"/>
  <c r="L347" i="1"/>
  <c r="M251" i="1"/>
  <c r="L251" i="1"/>
  <c r="M179" i="1"/>
  <c r="L179" i="1"/>
  <c r="M328" i="1"/>
  <c r="L328" i="1"/>
  <c r="M370" i="1"/>
  <c r="L370" i="1"/>
  <c r="M200" i="1"/>
  <c r="L200" i="1"/>
  <c r="M237" i="1"/>
  <c r="L237" i="1"/>
  <c r="L267" i="1"/>
  <c r="M388" i="1"/>
  <c r="L388" i="1"/>
  <c r="M333" i="1"/>
  <c r="L333" i="1"/>
  <c r="M215" i="1"/>
  <c r="L215" i="1"/>
  <c r="M344" i="1"/>
  <c r="L344" i="1"/>
  <c r="L417" i="1"/>
  <c r="M387" i="1"/>
  <c r="L387" i="1"/>
  <c r="M367" i="1"/>
  <c r="L367" i="1"/>
  <c r="M35" i="1"/>
  <c r="L35" i="1"/>
  <c r="M82" i="1"/>
  <c r="L82" i="1"/>
  <c r="M129" i="1"/>
  <c r="L129" i="1"/>
  <c r="M242" i="1"/>
  <c r="L242" i="1"/>
  <c r="M391" i="1"/>
  <c r="L391" i="1"/>
  <c r="M439" i="1"/>
  <c r="L439" i="1"/>
  <c r="M245" i="1"/>
  <c r="L245" i="1"/>
  <c r="M343" i="1"/>
  <c r="L343" i="1"/>
  <c r="M423" i="1"/>
  <c r="L423" i="1"/>
  <c r="M228" i="1"/>
  <c r="L228" i="1"/>
  <c r="M319" i="1"/>
  <c r="L319" i="1"/>
  <c r="M218" i="1"/>
  <c r="L218" i="1"/>
  <c r="M266" i="1"/>
  <c r="L266" i="1"/>
  <c r="M338" i="1"/>
  <c r="L338" i="1"/>
  <c r="M53" i="1"/>
  <c r="L53" i="1"/>
  <c r="M246" i="1"/>
  <c r="L246" i="1"/>
  <c r="M87" i="1"/>
  <c r="L87" i="1"/>
  <c r="M418" i="1"/>
  <c r="L418" i="1"/>
  <c r="M54" i="1"/>
  <c r="L54" i="1"/>
  <c r="M355" i="1"/>
  <c r="L355" i="1"/>
  <c r="M231" i="1"/>
  <c r="L231" i="1"/>
  <c r="M294" i="1"/>
  <c r="L294" i="1"/>
  <c r="M232" i="1"/>
  <c r="L232" i="1"/>
  <c r="M164" i="1"/>
  <c r="L164" i="1"/>
  <c r="M233" i="1"/>
  <c r="L233" i="1"/>
  <c r="M408" i="1"/>
  <c r="L408" i="1"/>
  <c r="M270" i="1"/>
  <c r="L270" i="1"/>
  <c r="L216" i="1"/>
  <c r="M352" i="1"/>
  <c r="L352" i="1"/>
  <c r="M126" i="1"/>
  <c r="L126" i="1"/>
  <c r="M415" i="1"/>
  <c r="L415" i="1"/>
  <c r="M288" i="1"/>
  <c r="L288" i="1"/>
  <c r="M30" i="1"/>
  <c r="L30" i="1"/>
  <c r="M377" i="1"/>
  <c r="L377" i="1"/>
  <c r="M398" i="1"/>
  <c r="L398" i="1"/>
  <c r="M262" i="1"/>
  <c r="L262" i="1"/>
  <c r="M58" i="1"/>
  <c r="L58" i="1"/>
  <c r="M207" i="1"/>
  <c r="L207" i="1"/>
  <c r="M360" i="1"/>
  <c r="L360" i="1"/>
  <c r="M278" i="1"/>
  <c r="L278" i="1"/>
  <c r="M196" i="1"/>
  <c r="L196" i="1"/>
  <c r="M100" i="1"/>
  <c r="L100" i="1"/>
  <c r="M282" i="1"/>
  <c r="L282" i="1"/>
  <c r="M202" i="1"/>
  <c r="L202" i="1"/>
  <c r="M140" i="1"/>
  <c r="L140" i="1"/>
  <c r="M286" i="1"/>
  <c r="L286" i="1"/>
  <c r="L174" i="1"/>
  <c r="M59" i="1"/>
  <c r="L59" i="1"/>
  <c r="M435" i="1"/>
  <c r="L435" i="1"/>
  <c r="M95" i="1"/>
  <c r="L95" i="1"/>
  <c r="M244" i="1"/>
  <c r="L244" i="1"/>
  <c r="M40" i="1"/>
  <c r="L40" i="1"/>
  <c r="M99" i="1"/>
  <c r="L99" i="1"/>
  <c r="M168" i="1"/>
  <c r="L168" i="1"/>
  <c r="M221" i="1"/>
  <c r="L221" i="1"/>
  <c r="M152" i="1"/>
  <c r="L152" i="1"/>
  <c r="M350" i="1"/>
  <c r="L350" i="1"/>
  <c r="M153" i="1"/>
  <c r="L153" i="1"/>
  <c r="M154" i="1"/>
  <c r="L154" i="1"/>
  <c r="M183" i="1"/>
  <c r="L183" i="1"/>
  <c r="M234" i="1"/>
  <c r="L234" i="1"/>
  <c r="M436" i="1"/>
  <c r="L436" i="1"/>
  <c r="M42" i="1"/>
  <c r="L42" i="1"/>
  <c r="M98" i="1"/>
  <c r="L98" i="1"/>
  <c r="M103" i="1"/>
  <c r="L103" i="1"/>
  <c r="M430" i="1"/>
  <c r="L430" i="1"/>
  <c r="M429" i="1"/>
  <c r="L429" i="1"/>
  <c r="M166" i="1"/>
  <c r="L166" i="1"/>
  <c r="M275" i="1"/>
  <c r="L275" i="1"/>
  <c r="M401" i="1"/>
  <c r="L401" i="1"/>
  <c r="M375" i="1"/>
  <c r="L375" i="1"/>
  <c r="M362" i="1"/>
  <c r="L362" i="1"/>
  <c r="M230" i="1"/>
  <c r="L230" i="1"/>
  <c r="M47" i="1"/>
  <c r="L47" i="1"/>
  <c r="M357" i="1"/>
  <c r="L357" i="1"/>
  <c r="M427" i="1"/>
  <c r="L427" i="1"/>
  <c r="M48" i="1"/>
  <c r="L48" i="1"/>
  <c r="M433" i="1"/>
  <c r="L433" i="1"/>
  <c r="M422" i="1"/>
  <c r="L422" i="1"/>
  <c r="M79" i="1"/>
  <c r="L79" i="1"/>
  <c r="M139" i="1"/>
  <c r="L139" i="1"/>
  <c r="M431" i="1"/>
  <c r="L431" i="1"/>
  <c r="M182" i="1"/>
  <c r="L182" i="1"/>
  <c r="M383" i="1"/>
  <c r="L383" i="1"/>
  <c r="L206" i="1"/>
  <c r="M373" i="1"/>
  <c r="L373" i="1"/>
  <c r="M247" i="1"/>
  <c r="L247" i="1"/>
  <c r="M356" i="1"/>
  <c r="L356" i="1"/>
  <c r="M322" i="1"/>
  <c r="L322" i="1"/>
  <c r="M106" i="1"/>
  <c r="L106" i="1"/>
  <c r="M155" i="1"/>
  <c r="L155" i="1"/>
  <c r="M420" i="1"/>
  <c r="L420" i="1"/>
  <c r="M145" i="1"/>
  <c r="L145" i="1"/>
  <c r="M419" i="1"/>
  <c r="L419" i="1"/>
  <c r="M51" i="1"/>
  <c r="L51" i="1"/>
  <c r="M236" i="1"/>
  <c r="L236" i="1"/>
  <c r="M243" i="1"/>
  <c r="L243" i="1"/>
  <c r="M342" i="1"/>
  <c r="L342" i="1"/>
  <c r="M190" i="1"/>
  <c r="L190" i="1"/>
  <c r="M76" i="1"/>
  <c r="L76" i="1"/>
  <c r="M133" i="1"/>
  <c r="L133" i="1"/>
  <c r="M116" i="1"/>
  <c r="L116" i="1"/>
  <c r="M44" i="1"/>
  <c r="L44" i="1"/>
  <c r="M382" i="1"/>
  <c r="L382" i="1"/>
  <c r="M17" i="1"/>
  <c r="L17" i="1"/>
  <c r="M169" i="1"/>
  <c r="L169" i="1"/>
  <c r="M295" i="1"/>
  <c r="L295" i="1"/>
  <c r="M397" i="1"/>
  <c r="L397" i="1"/>
  <c r="M312" i="1"/>
  <c r="L312" i="1"/>
  <c r="M281" i="1"/>
  <c r="L281" i="1"/>
  <c r="M277" i="1"/>
  <c r="L277" i="1"/>
  <c r="M142" i="1"/>
  <c r="L142" i="1"/>
  <c r="M272" i="1"/>
  <c r="L272" i="1"/>
  <c r="M161" i="1"/>
  <c r="L161" i="1"/>
  <c r="M399" i="1"/>
  <c r="L399" i="1"/>
  <c r="M378" i="1"/>
  <c r="L378" i="1"/>
  <c r="M437" i="1"/>
  <c r="L4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<sst xmlns="http://schemas.openxmlformats.org/spreadsheetml/2006/main" count="5497" uniqueCount="2026">
  <si>
    <t>شماره پذیرش</t>
  </si>
  <si>
    <t>ماه</t>
  </si>
  <si>
    <t>کد ماه</t>
  </si>
  <si>
    <t>نوع محصول</t>
  </si>
  <si>
    <t>مدل</t>
  </si>
  <si>
    <t>شماره سریال</t>
  </si>
  <si>
    <t>اظهار مشتری</t>
  </si>
  <si>
    <t>شرح خرابی</t>
  </si>
  <si>
    <t>تاریخ پذیرش</t>
  </si>
  <si>
    <t>تاریخ تولید</t>
  </si>
  <si>
    <t>تاریخ نصب</t>
  </si>
  <si>
    <t>مدت مصرف (ماه)</t>
  </si>
  <si>
    <t>دسته علت خرابی</t>
  </si>
  <si>
    <t>قطعه تعویضی</t>
  </si>
  <si>
    <t>مراجعه تکراری</t>
  </si>
  <si>
    <t>510018102</t>
  </si>
  <si>
    <t>فروردین</t>
  </si>
  <si>
    <t>1405-01</t>
  </si>
  <si>
    <t>CWM-BMW8T1</t>
  </si>
  <si>
    <t>210100004N00372</t>
  </si>
  <si>
    <t>دفرمگی نوار دور درب ایاب و ذهاب به عهده مشتری</t>
  </si>
  <si>
    <t>دفرمگی لاستیک</t>
  </si>
  <si>
    <t>1405/01/12</t>
  </si>
  <si>
    <t>1403/06/17</t>
  </si>
  <si>
    <t>—</t>
  </si>
  <si>
    <t>210006481</t>
  </si>
  <si>
    <t>52210006N01491</t>
  </si>
  <si>
    <t>صدای غیرعادی هنگام خشک کن — ایاب و ذهاب به عهده شرکت</t>
  </si>
  <si>
    <t>خرابی بلبرینگ</t>
  </si>
  <si>
    <t>1405/01/15</t>
  </si>
  <si>
    <t>1404/05/08</t>
  </si>
  <si>
    <t>1404/09/17</t>
  </si>
  <si>
    <t>بلبرینگ لباسشویی</t>
  </si>
  <si>
    <t>510017937</t>
  </si>
  <si>
    <t>CWM-BMW8V1</t>
  </si>
  <si>
    <t>52210003N01598</t>
  </si>
  <si>
    <t>عدم عملکرد کلیدهای دیسپلی ایاب و ذهاب به عهده شرکت</t>
  </si>
  <si>
    <t>خرابی برد - عدم عملکرد کلیدهای دیسپلی</t>
  </si>
  <si>
    <t>1404/02/25</t>
  </si>
  <si>
    <t>1404/07/13</t>
  </si>
  <si>
    <t>برد لباسشویی</t>
  </si>
  <si>
    <t>130003087</t>
  </si>
  <si>
    <t>ماشین ظرفشویی</t>
  </si>
  <si>
    <t>CDW-H16T</t>
  </si>
  <si>
    <t>52220005N04234</t>
  </si>
  <si>
    <t>خطای F54ایاب و ذهاب به عهده شرکت</t>
  </si>
  <si>
    <t>بدون مورد و اجرت</t>
  </si>
  <si>
    <t>1405/01/16</t>
  </si>
  <si>
    <t>1404/08/08</t>
  </si>
  <si>
    <t>1404/10/10</t>
  </si>
  <si>
    <t>130004233</t>
  </si>
  <si>
    <t>CDW-H15V</t>
  </si>
  <si>
    <t>52220003N00768</t>
  </si>
  <si>
    <t>کسری قطعات تزئینی کابین - کد قطعه در لیست اقدامات درج می گردد. ایاب و ذهاب به عهده شرکت</t>
  </si>
  <si>
    <t>کسری قطعات تزئینی داخل کابین - ظرفشویی</t>
  </si>
  <si>
    <t>1403/04/04</t>
  </si>
  <si>
    <t>1405/01/08</t>
  </si>
  <si>
    <t>130004844</t>
  </si>
  <si>
    <t>تلویزیون</t>
  </si>
  <si>
    <t>CTV-55UHJS2</t>
  </si>
  <si>
    <t>52230003N00664</t>
  </si>
  <si>
    <t>عدم عملکرد ریموت کنترل — ایاب و ذهاب به عهده مشتری</t>
  </si>
  <si>
    <t>ایراد در ریموت کنترل</t>
  </si>
  <si>
    <t>1403/08/13</t>
  </si>
  <si>
    <t>1403/09/29</t>
  </si>
  <si>
    <t>130004876</t>
  </si>
  <si>
    <t>52220002N02754</t>
  </si>
  <si>
    <t>بسته نشدن درب ایاب و ذهاب به عهده شرکت</t>
  </si>
  <si>
    <t>خرابی قلاب میکروسوئیچ</t>
  </si>
  <si>
    <t>1404/08/14</t>
  </si>
  <si>
    <t>1405/01/03</t>
  </si>
  <si>
    <t>میکروسوئیچ 15 نفره</t>
  </si>
  <si>
    <t>52220004N01428</t>
  </si>
  <si>
    <t>ایاب و ذهاب به عهده شرکت — بسته نشدن درب</t>
  </si>
  <si>
    <t>1403/11/02</t>
  </si>
  <si>
    <t>میکروسوئیچ 16 نفره</t>
  </si>
  <si>
    <t>130006543</t>
  </si>
  <si>
    <t>52220002N02241</t>
  </si>
  <si>
    <t>خطای F54 — ایاب و ذهاب به عهده شرکت</t>
  </si>
  <si>
    <t>نشتی اورینگ مخزن نمک</t>
  </si>
  <si>
    <t>1404/04/09</t>
  </si>
  <si>
    <t>130006951</t>
  </si>
  <si>
    <t>CWM-BMW8T3</t>
  </si>
  <si>
    <t>52210013N00061</t>
  </si>
  <si>
    <t>جمع شدن آب زیر محصول — ایاب و ذهاب به عهده شرکت</t>
  </si>
  <si>
    <t>نشتی از لاستیک دور درب</t>
  </si>
  <si>
    <t>1404/12/03</t>
  </si>
  <si>
    <t>1405/01/05</t>
  </si>
  <si>
    <t>130007886</t>
  </si>
  <si>
    <t>52210004N00791</t>
  </si>
  <si>
    <t>صدای غیرعادی هنگام خشک کن — مجدد — لرزش و حرکت محصول — ایاب و ذهاب به عهده مشتری</t>
  </si>
  <si>
    <t>1403/02/11</t>
  </si>
  <si>
    <t>130007902</t>
  </si>
  <si>
    <t>CDW-H13V</t>
  </si>
  <si>
    <t>52220001N00661</t>
  </si>
  <si>
    <t>خطای F54 ایاب و ذهاب به عهده شرکت</t>
  </si>
  <si>
    <t>1403/07/07</t>
  </si>
  <si>
    <t>1404/11/04</t>
  </si>
  <si>
    <t>210004764</t>
  </si>
  <si>
    <t>52220005N03644</t>
  </si>
  <si>
    <t>از کار افتادن محصول — ایاب و ذهاب به عهده شرکت</t>
  </si>
  <si>
    <t>ترک در زیر بدنه و شکستگی حوضچه مخزن نمک</t>
  </si>
  <si>
    <t>1404/06/31</t>
  </si>
  <si>
    <t>1404/12/26</t>
  </si>
  <si>
    <t>210005280</t>
  </si>
  <si>
    <t>یخچال مینی</t>
  </si>
  <si>
    <t>MINI-R (BLACK)</t>
  </si>
  <si>
    <t>52240004N00055</t>
  </si>
  <si>
    <t>افتادگی درب/ تنظیم درب — ایاب و ذهاب به عهده شرکت</t>
  </si>
  <si>
    <t>تعویض لولا</t>
  </si>
  <si>
    <t>1403/12/25</t>
  </si>
  <si>
    <t>لولا درب</t>
  </si>
  <si>
    <t>210011071</t>
  </si>
  <si>
    <t>52210006N00699</t>
  </si>
  <si>
    <t>بسته نشدن درب — ایاب و ذهاب به عهده مشتری</t>
  </si>
  <si>
    <t>عدم قرارگیری مهره درب</t>
  </si>
  <si>
    <t>1403/02/05</t>
  </si>
  <si>
    <t>1403/12/09</t>
  </si>
  <si>
    <t>52220005N00355</t>
  </si>
  <si>
    <t>خطای F11 — ایاب و ذهاب به عهده مشتری</t>
  </si>
  <si>
    <t>1403/07/27</t>
  </si>
  <si>
    <t>210011525</t>
  </si>
  <si>
    <t>یخچال ساید‌بای‌ساید</t>
  </si>
  <si>
    <t>C2S-29HS1</t>
  </si>
  <si>
    <t>52240001N02140</t>
  </si>
  <si>
    <t>تعویض فیلتر - غیرگارانتی</t>
  </si>
  <si>
    <t>تعویض فیلتر / غیرگارانتی - ساید بای ساید</t>
  </si>
  <si>
    <t>1403/10/16</t>
  </si>
  <si>
    <t>1404/05/04</t>
  </si>
  <si>
    <t>210011669</t>
  </si>
  <si>
    <t>52240001N01024</t>
  </si>
  <si>
    <t>1403/04/13</t>
  </si>
  <si>
    <t>1404/06/04</t>
  </si>
  <si>
    <t>210012260</t>
  </si>
  <si>
    <t>52240001N00401</t>
  </si>
  <si>
    <t>1403/04/03</t>
  </si>
  <si>
    <t>1403/09/28</t>
  </si>
  <si>
    <t>CWM-BMW9T1</t>
  </si>
  <si>
    <t>52210008N00788</t>
  </si>
  <si>
    <t>تراز پایه تنظیم</t>
  </si>
  <si>
    <t>1404/02/22</t>
  </si>
  <si>
    <t>1404/08/11</t>
  </si>
  <si>
    <t>210012658</t>
  </si>
  <si>
    <t>52240001N01707</t>
  </si>
  <si>
    <t>1403/08/10</t>
  </si>
  <si>
    <t>1403/12/13</t>
  </si>
  <si>
    <t>310000306</t>
  </si>
  <si>
    <t>52220005N01360</t>
  </si>
  <si>
    <t>عدم شست و شوی کامل ظروف — ایاب و ذهاب به عهده شرکت</t>
  </si>
  <si>
    <t>خرابی شیربرقی</t>
  </si>
  <si>
    <t>1404/11/28</t>
  </si>
  <si>
    <t>شیر برقی ظرفشویی</t>
  </si>
  <si>
    <t>510015832</t>
  </si>
  <si>
    <t>CWM-BMW8T2</t>
  </si>
  <si>
    <t>52210009N01186</t>
  </si>
  <si>
    <t>صدای غیرعادی هنگام خشک کن — ایاب و ذهاب به عهده شرکت — مجدد</t>
  </si>
  <si>
    <t>1404/04/19</t>
  </si>
  <si>
    <t>1404/04/31</t>
  </si>
  <si>
    <t>رگلاژ پایه تنظیم لباسشویی</t>
  </si>
  <si>
    <t>1405/01/20</t>
  </si>
  <si>
    <t>710000247</t>
  </si>
  <si>
    <t>52220004N01671</t>
  </si>
  <si>
    <t>خرابی پمپ تخلیه</t>
  </si>
  <si>
    <t>1403/11/09</t>
  </si>
  <si>
    <t>پمپ تخلیه ظرفشویی</t>
  </si>
  <si>
    <t>710000446</t>
  </si>
  <si>
    <t>52220004N02498</t>
  </si>
  <si>
    <t>1404/02/01</t>
  </si>
  <si>
    <t>1404/12/23</t>
  </si>
  <si>
    <t>710001924</t>
  </si>
  <si>
    <t>52240001N02052</t>
  </si>
  <si>
    <t>خطای ER — ایاب و ذهاب به عهده شرکت</t>
  </si>
  <si>
    <t>خرابی مگنت درب</t>
  </si>
  <si>
    <t>1403/09/20</t>
  </si>
  <si>
    <t>1404/12/28</t>
  </si>
  <si>
    <t>مگنت درب</t>
  </si>
  <si>
    <t>710002117</t>
  </si>
  <si>
    <t>210140001N00091</t>
  </si>
  <si>
    <t>خطای F54 ایاب و ذهاب به عهده مشتری</t>
  </si>
  <si>
    <t>نشتی از جا قرصی</t>
  </si>
  <si>
    <t>1402/10/21</t>
  </si>
  <si>
    <t>1403/02/04</t>
  </si>
  <si>
    <t>753605</t>
  </si>
  <si>
    <t>52230003N00020</t>
  </si>
  <si>
    <t>پرش تصویر — ایاب و ذهاب به عهده شرکت</t>
  </si>
  <si>
    <t>پرش تصویر</t>
  </si>
  <si>
    <t>1403/06/15</t>
  </si>
  <si>
    <t>1404/02/20</t>
  </si>
  <si>
    <t>برد تلویزیون</t>
  </si>
  <si>
    <t>754522</t>
  </si>
  <si>
    <t>نشتی از مقسم آب</t>
  </si>
  <si>
    <t>1402/12/01</t>
  </si>
  <si>
    <t>759882</t>
  </si>
  <si>
    <t>52220005N04785</t>
  </si>
  <si>
    <t>خطای F11 — ایاب و ذهاب به عهده شرکت</t>
  </si>
  <si>
    <t>1404/08/22</t>
  </si>
  <si>
    <t>1404/09/02</t>
  </si>
  <si>
    <t>نشتی درب مخزن نمک</t>
  </si>
  <si>
    <t>1404/12/17</t>
  </si>
  <si>
    <t>210100007N00317</t>
  </si>
  <si>
    <t>نشتی از جاپودری</t>
  </si>
  <si>
    <t>1402/12/26</t>
  </si>
  <si>
    <t>760495</t>
  </si>
  <si>
    <t>52240001N01136</t>
  </si>
  <si>
    <t>عدم کارکرد یخساز — ایاب و ذهاب به عهده شرکت</t>
  </si>
  <si>
    <t>اصلاح دمپر پلاستیکی</t>
  </si>
  <si>
    <t>1403/04/28</t>
  </si>
  <si>
    <t>1404/04/25</t>
  </si>
  <si>
    <t>760655</t>
  </si>
  <si>
    <t>52210010N01699</t>
  </si>
  <si>
    <t>تنظیم سوکت برد</t>
  </si>
  <si>
    <t>1404/07/17</t>
  </si>
  <si>
    <t>1404/08/07</t>
  </si>
  <si>
    <t>761052</t>
  </si>
  <si>
    <t>لرزش و حرکت محصول — ایاب و ذهاب به عهده شرکت</t>
  </si>
  <si>
    <t>761565</t>
  </si>
  <si>
    <t>1404/01/30</t>
  </si>
  <si>
    <t>761626</t>
  </si>
  <si>
    <t>52210007N00625</t>
  </si>
  <si>
    <t>1404/02/11</t>
  </si>
  <si>
    <t>761918</t>
  </si>
  <si>
    <t>نشتی پمپ تخلیه</t>
  </si>
  <si>
    <t>1403/12/18</t>
  </si>
  <si>
    <t>762205</t>
  </si>
  <si>
    <t>خرابی زبانه</t>
  </si>
  <si>
    <t>1403/03/19</t>
  </si>
  <si>
    <t>زبانه درب لباسشویی</t>
  </si>
  <si>
    <t>810001656</t>
  </si>
  <si>
    <t>52220005N02458</t>
  </si>
  <si>
    <t>خرابی هیدروستات</t>
  </si>
  <si>
    <t>1404/01/26</t>
  </si>
  <si>
    <t>هیدروستات ظرفشویی</t>
  </si>
  <si>
    <t>810003180</t>
  </si>
  <si>
    <t>1405/01/06</t>
  </si>
  <si>
    <t>1404/03/07</t>
  </si>
  <si>
    <t>100003885</t>
  </si>
  <si>
    <t>CTV-65UHJS2</t>
  </si>
  <si>
    <t>52230004N00236</t>
  </si>
  <si>
    <t>عدم عملکرد ریموت کنترل — ایاب و ذهاب به عهده شرکت</t>
  </si>
  <si>
    <t>1405/01/17</t>
  </si>
  <si>
    <t>1403/11/29</t>
  </si>
  <si>
    <t>1404/02/14</t>
  </si>
  <si>
    <t>52210008N00610</t>
  </si>
  <si>
    <t>1404/02/13</t>
  </si>
  <si>
    <t>210011406</t>
  </si>
  <si>
    <t>52240001N01659</t>
  </si>
  <si>
    <t>1403/08/30</t>
  </si>
  <si>
    <t>1404/05/13</t>
  </si>
  <si>
    <t>310000301</t>
  </si>
  <si>
    <t>210120001N00311</t>
  </si>
  <si>
    <t>عدم کارکرد یخساز — ایاب و ذهاب به عهده مشتری</t>
  </si>
  <si>
    <t>شکستگی کاور بالای یخساز - ساید بای ساید</t>
  </si>
  <si>
    <t>1403/03/06</t>
  </si>
  <si>
    <t>1403/10/18</t>
  </si>
  <si>
    <t>کاور بالای یخساز</t>
  </si>
  <si>
    <t>310003960</t>
  </si>
  <si>
    <t>210100006N00224</t>
  </si>
  <si>
    <t>از کار افتادن محصول — ایاب و ذهاب به عهده مشتری</t>
  </si>
  <si>
    <t>خرابی دیسپلی - عدم عملکرد کلیدهای دیسپلی - لباسشویی</t>
  </si>
  <si>
    <t>1402/09/29</t>
  </si>
  <si>
    <t>1403/07/26</t>
  </si>
  <si>
    <t>710002184</t>
  </si>
  <si>
    <t>52240001N02112</t>
  </si>
  <si>
    <t>اصلاح دمپر پلاستیکی پشت کابین - ساید بای ساید</t>
  </si>
  <si>
    <t>762888</t>
  </si>
  <si>
    <t>210120001N00046</t>
  </si>
  <si>
    <t>خرابی برد - عدم کارکرد یخساز - ساید بای ساید</t>
  </si>
  <si>
    <t>1403/09/03</t>
  </si>
  <si>
    <t>برد ساید بای ساید</t>
  </si>
  <si>
    <t>762981</t>
  </si>
  <si>
    <t>صدای غیرعادی هنگام خشک کن</t>
  </si>
  <si>
    <t>763020</t>
  </si>
  <si>
    <t>تنظیم تایم آبگیری یخساز - ساید بای ساید</t>
  </si>
  <si>
    <t>130004819</t>
  </si>
  <si>
    <t>52220004N03052</t>
  </si>
  <si>
    <t>خرابی واترجت</t>
  </si>
  <si>
    <t>1405/01/18</t>
  </si>
  <si>
    <t>1404/05/27</t>
  </si>
  <si>
    <t>1404/06/15</t>
  </si>
  <si>
    <t>واترجت ظرفشویی</t>
  </si>
  <si>
    <t>130004825</t>
  </si>
  <si>
    <t>52210007N01247</t>
  </si>
  <si>
    <t>1404/05/09</t>
  </si>
  <si>
    <t>1404/09/27</t>
  </si>
  <si>
    <t>210011577</t>
  </si>
  <si>
    <t>52210006N01611</t>
  </si>
  <si>
    <t>خطای LE ایاب و ذهاب به عهده شرکت</t>
  </si>
  <si>
    <t>نشتی از شیلنگ ورودی آب</t>
  </si>
  <si>
    <t>1404/06/24</t>
  </si>
  <si>
    <t>1404/07/15</t>
  </si>
  <si>
    <t>310003983</t>
  </si>
  <si>
    <t>52210003N01422</t>
  </si>
  <si>
    <t>ضربه کابین — غیرگارانتی</t>
  </si>
  <si>
    <t>ضربه کابین</t>
  </si>
  <si>
    <t>1403/10/17</t>
  </si>
  <si>
    <t>510018492</t>
  </si>
  <si>
    <t>52220002N02794</t>
  </si>
  <si>
    <t>1404/08/28</t>
  </si>
  <si>
    <t>1404/12/09</t>
  </si>
  <si>
    <t>763201</t>
  </si>
  <si>
    <t>52220005N03892</t>
  </si>
  <si>
    <t>1404/07/14</t>
  </si>
  <si>
    <t>810001653</t>
  </si>
  <si>
    <t>210100007N00374</t>
  </si>
  <si>
    <t>عدم عملکرد کلیدهای دیسپلی — ایاب و ذهاب به عهده مشتری</t>
  </si>
  <si>
    <t>1403/01/11</t>
  </si>
  <si>
    <t>210004811</t>
  </si>
  <si>
    <t>210100007N00366</t>
  </si>
  <si>
    <t>نشتی از شیلنگ تخلیه آب</t>
  </si>
  <si>
    <t>1405/01/19</t>
  </si>
  <si>
    <t>1404/11/02</t>
  </si>
  <si>
    <t>210004824</t>
  </si>
  <si>
    <t>52240001N01153</t>
  </si>
  <si>
    <t>عدم کارکرد یخساز — عدم خروج آب از آبسردکن — ایاب و ذهاب به عهده شرکت</t>
  </si>
  <si>
    <t>1403/04/27</t>
  </si>
  <si>
    <t>1404/04/16</t>
  </si>
  <si>
    <t>210004827</t>
  </si>
  <si>
    <t>52240001N01238</t>
  </si>
  <si>
    <t>1403/05/17</t>
  </si>
  <si>
    <t>210006037</t>
  </si>
  <si>
    <t>MINI-R (BK01)</t>
  </si>
  <si>
    <t>52240002N00380</t>
  </si>
  <si>
    <t>رنگ پریدگی درب ایاب و ذهاب به عهده شرکت</t>
  </si>
  <si>
    <t>رنگ پریدگی درب - یخچال مینی</t>
  </si>
  <si>
    <t>1403/10/26</t>
  </si>
  <si>
    <t>210006383</t>
  </si>
  <si>
    <t>210100005N00006</t>
  </si>
  <si>
    <t>ایاب و ذهاب به عهده مشتری بسته نشدن درب</t>
  </si>
  <si>
    <t>خرابی میکروسوئیچ</t>
  </si>
  <si>
    <t>1402/08/15</t>
  </si>
  <si>
    <t>میکروسوئیچ لباسشویی</t>
  </si>
  <si>
    <t>210010946</t>
  </si>
  <si>
    <t>52220004N02580</t>
  </si>
  <si>
    <t>ریست دستگاه - ظرفشویی</t>
  </si>
  <si>
    <t>1404/02/05</t>
  </si>
  <si>
    <t>1403/10/30</t>
  </si>
  <si>
    <t>210015748</t>
  </si>
  <si>
    <t>52220005N02291</t>
  </si>
  <si>
    <t>قطعی درخت سیم -غیر گارانتی</t>
  </si>
  <si>
    <t>1404/01/23</t>
  </si>
  <si>
    <t>1404/05/29</t>
  </si>
  <si>
    <t>710002358</t>
  </si>
  <si>
    <t>52220005N04863</t>
  </si>
  <si>
    <t>1404/10/24</t>
  </si>
  <si>
    <t>130004237</t>
  </si>
  <si>
    <t>52220005N04878</t>
  </si>
  <si>
    <t>52220005N04894</t>
  </si>
  <si>
    <t>عدم تخلیه آب تمیز داخل درام — ایاب و ذهاب به عهده شرکت</t>
  </si>
  <si>
    <t>نشتی از شیلنگ ورودی</t>
  </si>
  <si>
    <t>1404/08/24</t>
  </si>
  <si>
    <t>510018481</t>
  </si>
  <si>
    <t>52210008N01227</t>
  </si>
  <si>
    <t>پارگی لاستیک</t>
  </si>
  <si>
    <t>1404/05/12</t>
  </si>
  <si>
    <t>نوار گسکت/لاستیک درب ماشین لباسشویی</t>
  </si>
  <si>
    <t>764016</t>
  </si>
  <si>
    <t>نشتی شیلنگ ورودی</t>
  </si>
  <si>
    <t>52220004N04742</t>
  </si>
  <si>
    <t>1405/01/21</t>
  </si>
  <si>
    <t>1404/10/11</t>
  </si>
  <si>
    <t>810003210</t>
  </si>
  <si>
    <t>CDW-H16TS1</t>
  </si>
  <si>
    <t>130006264</t>
  </si>
  <si>
    <t>52220005N03807</t>
  </si>
  <si>
    <t>1405/01/22</t>
  </si>
  <si>
    <t>1404/07/07</t>
  </si>
  <si>
    <t>1404/08/13</t>
  </si>
  <si>
    <t>210004826</t>
  </si>
  <si>
    <t>52240001N01229</t>
  </si>
  <si>
    <t>عدم کارکرد یخسازایاب و ذهاب به عهده شرکت</t>
  </si>
  <si>
    <t>1403/05/12</t>
  </si>
  <si>
    <t>1404/04/28</t>
  </si>
  <si>
    <t>210012002</t>
  </si>
  <si>
    <t>CM-RS5BK1</t>
  </si>
  <si>
    <t>52240002N00838</t>
  </si>
  <si>
    <t>گرم شدن محصول — ایاب و ذهاب به عهده شرکت</t>
  </si>
  <si>
    <t>خرابی ترموستات - یخچال مینی</t>
  </si>
  <si>
    <t>1403/12/11</t>
  </si>
  <si>
    <t>1404/05/28</t>
  </si>
  <si>
    <t>ترموستات مینی</t>
  </si>
  <si>
    <t>210012126</t>
  </si>
  <si>
    <t>52220004N01662</t>
  </si>
  <si>
    <t>1404/04/21</t>
  </si>
  <si>
    <t>210015866</t>
  </si>
  <si>
    <t>52240001N01260</t>
  </si>
  <si>
    <t>1403/05/21</t>
  </si>
  <si>
    <t>310000300</t>
  </si>
  <si>
    <t>210100006N00072</t>
  </si>
  <si>
    <t>صدای غیرعادی هنگام خشک کن — ایاب و ذهاب به عهده مشتری</t>
  </si>
  <si>
    <t>تاب درام</t>
  </si>
  <si>
    <t>1402/09/19</t>
  </si>
  <si>
    <t>1404/04/29</t>
  </si>
  <si>
    <t>مجموعه درام ماشین لباسشویی</t>
  </si>
  <si>
    <t>764320</t>
  </si>
  <si>
    <t>52240001N01950</t>
  </si>
  <si>
    <t>1403/09/07</t>
  </si>
  <si>
    <t>1404/05/05</t>
  </si>
  <si>
    <t>764368</t>
  </si>
  <si>
    <t>52220005N02936</t>
  </si>
  <si>
    <t>1404/03/06</t>
  </si>
  <si>
    <t>1404/08/01</t>
  </si>
  <si>
    <t>764466</t>
  </si>
  <si>
    <t>52220002N01514</t>
  </si>
  <si>
    <t>باز شدن درب حین شست و شو ایاب و ذهاب به عهده شرکت</t>
  </si>
  <si>
    <t>1403/11/01</t>
  </si>
  <si>
    <t>خرابی ترموستات</t>
  </si>
  <si>
    <t>810003274</t>
  </si>
  <si>
    <t>52230004N00072</t>
  </si>
  <si>
    <t>ایاب و ذهاب به عهده مشتری مشاهده خطوط در نمایش تصویر</t>
  </si>
  <si>
    <t>بدون مورد اجرت</t>
  </si>
  <si>
    <t>1403/07/25</t>
  </si>
  <si>
    <t>1404/03/27</t>
  </si>
  <si>
    <t>130004236</t>
  </si>
  <si>
    <t>52220005N00628</t>
  </si>
  <si>
    <t>تنظیم دیسپلی ( مایع جلادهنده/ صدای دیسپلی)</t>
  </si>
  <si>
    <t>1405/01/23</t>
  </si>
  <si>
    <t>130004793</t>
  </si>
  <si>
    <t>52220002N02226</t>
  </si>
  <si>
    <t>1403/10/27</t>
  </si>
  <si>
    <t>210004825</t>
  </si>
  <si>
    <t>52240001N01196</t>
  </si>
  <si>
    <t>عدم کارکرد یخساز ایاب و ذهاب به عهده شرکت</t>
  </si>
  <si>
    <t>خرابی موتور یخساز - ساید بای ساید</t>
  </si>
  <si>
    <t>1403/04/24</t>
  </si>
  <si>
    <t>1404/03/12</t>
  </si>
  <si>
    <t>خرابی موتور یخساز ساید</t>
  </si>
  <si>
    <t>510016237</t>
  </si>
  <si>
    <t>52220005N00902</t>
  </si>
  <si>
    <t>1404/06/01</t>
  </si>
  <si>
    <t>510019989</t>
  </si>
  <si>
    <t>52220002N02711</t>
  </si>
  <si>
    <t>510020243</t>
  </si>
  <si>
    <t>52210007N01378</t>
  </si>
  <si>
    <t>100003921</t>
  </si>
  <si>
    <t>52220005N00318</t>
  </si>
  <si>
    <t>1405/01/24</t>
  </si>
  <si>
    <t>1403/07/28</t>
  </si>
  <si>
    <t>1404/03/31</t>
  </si>
  <si>
    <t>130004239</t>
  </si>
  <si>
    <t>52240001N01972</t>
  </si>
  <si>
    <t>1403/09/08</t>
  </si>
  <si>
    <t>52220004N05131</t>
  </si>
  <si>
    <t>1404/08/29</t>
  </si>
  <si>
    <t>1404/09/09</t>
  </si>
  <si>
    <t>130007683</t>
  </si>
  <si>
    <t>52220003N02786</t>
  </si>
  <si>
    <t>شکستگی قطعات تزئینی کابین- کد قطعه در لیست اقدامات درج می گردد. — ایاب و ذهاب به عهده شرکت</t>
  </si>
  <si>
    <t>1404/08/15</t>
  </si>
  <si>
    <t>1404/12/11</t>
  </si>
  <si>
    <t>سبد ظرفشویی</t>
  </si>
  <si>
    <t>شکستگی سبد پایین</t>
  </si>
  <si>
    <t>210004815</t>
  </si>
  <si>
    <t>52210003N01998</t>
  </si>
  <si>
    <t>جمع شدن آب داخل محصول — ایاب و ذهاب به عهده شرکت</t>
  </si>
  <si>
    <t>شیر برقی لباسشویی</t>
  </si>
  <si>
    <t>210006131</t>
  </si>
  <si>
    <t>52210006N01567</t>
  </si>
  <si>
    <t>1404/05/15</t>
  </si>
  <si>
    <t>1404/10/14</t>
  </si>
  <si>
    <t>210012249</t>
  </si>
  <si>
    <t>MINI-R (RE01)</t>
  </si>
  <si>
    <t>52240003N00589</t>
  </si>
  <si>
    <t>شکستگی قطعات تزئینی داخل کابین - یخچال مینی</t>
  </si>
  <si>
    <t>1403/10/24</t>
  </si>
  <si>
    <t>1404/10/08</t>
  </si>
  <si>
    <t>قطعه تزئینی داخل کابین یخچال مینی</t>
  </si>
  <si>
    <t>210012274</t>
  </si>
  <si>
    <t>52220002N01411</t>
  </si>
  <si>
    <t>زنگ زدگی کابین ایاب و ذهاب به عهده شرکت</t>
  </si>
  <si>
    <t>زنگ زدگی کابین</t>
  </si>
  <si>
    <t>1403/08/06</t>
  </si>
  <si>
    <t>510020027</t>
  </si>
  <si>
    <t>210140002N00260</t>
  </si>
  <si>
    <t>1404/05/01</t>
  </si>
  <si>
    <t>1404/05/02</t>
  </si>
  <si>
    <t>510022350</t>
  </si>
  <si>
    <t>52240001N00642</t>
  </si>
  <si>
    <t>1403/04/06</t>
  </si>
  <si>
    <t>1403/09/27</t>
  </si>
  <si>
    <t>765124</t>
  </si>
  <si>
    <t>52210008N01023</t>
  </si>
  <si>
    <t>برخورد شیلنگ رابط هوا به درام فلزی</t>
  </si>
  <si>
    <t>1404/04/12</t>
  </si>
  <si>
    <t>1404/08/20</t>
  </si>
  <si>
    <t>765427</t>
  </si>
  <si>
    <t>810003432</t>
  </si>
  <si>
    <t>52220003N01306</t>
  </si>
  <si>
    <t>نشتی از شیلنگ تخلیه</t>
  </si>
  <si>
    <t>1403/07/23</t>
  </si>
  <si>
    <t>1404/02/15</t>
  </si>
  <si>
    <t>130008509</t>
  </si>
  <si>
    <t>CWM-BMW7.5VI1</t>
  </si>
  <si>
    <t>52210002N00408</t>
  </si>
  <si>
    <t>پارگی لباس ایاب و ذهاب به عهده شرکت</t>
  </si>
  <si>
    <t>زنگ زدگی درام</t>
  </si>
  <si>
    <t>1405/01/25</t>
  </si>
  <si>
    <t>210012285</t>
  </si>
  <si>
    <t>52220004N02595</t>
  </si>
  <si>
    <t>گرفتگی پمپ تخلیه</t>
  </si>
  <si>
    <t>210012289</t>
  </si>
  <si>
    <t>52220005N03900</t>
  </si>
  <si>
    <t>1404/08/26</t>
  </si>
  <si>
    <t>765575</t>
  </si>
  <si>
    <t>نشتی شیلنگ تخلیه</t>
  </si>
  <si>
    <t>130004708</t>
  </si>
  <si>
    <t>52220001N00786</t>
  </si>
  <si>
    <t>نشتی مهره مخزن نمک</t>
  </si>
  <si>
    <t>1405/01/26</t>
  </si>
  <si>
    <t>1404/09/12</t>
  </si>
  <si>
    <t>130004710</t>
  </si>
  <si>
    <t>52220004N02840</t>
  </si>
  <si>
    <t>1404/02/30</t>
  </si>
  <si>
    <t>1404/10/15</t>
  </si>
  <si>
    <t>130004712</t>
  </si>
  <si>
    <t>52210008N00836</t>
  </si>
  <si>
    <t>1404/03/04</t>
  </si>
  <si>
    <t>1404/05/21</t>
  </si>
  <si>
    <t>پمپ تخلیه لباسشویی</t>
  </si>
  <si>
    <t>130006273</t>
  </si>
  <si>
    <t>52240001N02021</t>
  </si>
  <si>
    <t>1403/09/13</t>
  </si>
  <si>
    <t>130006278</t>
  </si>
  <si>
    <t>210140001N00103</t>
  </si>
  <si>
    <t>1402/10/26</t>
  </si>
  <si>
    <t>52210009N01809</t>
  </si>
  <si>
    <t>510020282</t>
  </si>
  <si>
    <t>52240001N01500</t>
  </si>
  <si>
    <t>یخزدگی مواد غذایی در تمام طبقات — ایاب و ذهاب به عهده شرکت</t>
  </si>
  <si>
    <t>خرابی سنسور دمای کابین یخچال - ساید بای ساید</t>
  </si>
  <si>
    <t>1403/07/17</t>
  </si>
  <si>
    <t>ترموستات ساید بای ساید</t>
  </si>
  <si>
    <t>765614</t>
  </si>
  <si>
    <t>52220004N01531</t>
  </si>
  <si>
    <t>رگلاژ درب / لولا درب</t>
  </si>
  <si>
    <t>1403/11/07</t>
  </si>
  <si>
    <t>765741</t>
  </si>
  <si>
    <t>خرابی برد</t>
  </si>
  <si>
    <t>765793</t>
  </si>
  <si>
    <t>دفرمگی نوار دور درب — ایاب و ذهاب به عهده شرکت</t>
  </si>
  <si>
    <t>دفرمگی نوار گسگت</t>
  </si>
  <si>
    <t>1404/11/12</t>
  </si>
  <si>
    <t>810003573</t>
  </si>
  <si>
    <t>52220003N01755</t>
  </si>
  <si>
    <t>خطای F54 — ایاب و ذهاب به عهده مشتری</t>
  </si>
  <si>
    <t>نشتی از اورینگ پمپ تخلیه</t>
  </si>
  <si>
    <t>1403/11/04</t>
  </si>
  <si>
    <t>1403/12/16</t>
  </si>
  <si>
    <t>130004703</t>
  </si>
  <si>
    <t>52220004N04970</t>
  </si>
  <si>
    <t>1405/01/27</t>
  </si>
  <si>
    <t>1404/12/05</t>
  </si>
  <si>
    <t>210004819</t>
  </si>
  <si>
    <t>52210010N01829</t>
  </si>
  <si>
    <t>1404/06/22</t>
  </si>
  <si>
    <t>1403/04/18</t>
  </si>
  <si>
    <t>210011129</t>
  </si>
  <si>
    <t>52220004N03782</t>
  </si>
  <si>
    <t>لولا تنظیم / رگلاژ درب</t>
  </si>
  <si>
    <t>1404/07/28</t>
  </si>
  <si>
    <t>1404/10/23</t>
  </si>
  <si>
    <t>210012326</t>
  </si>
  <si>
    <t>210120001N00234</t>
  </si>
  <si>
    <t>تعویض لولای پایین - ساید بای ساید</t>
  </si>
  <si>
    <t>1403/03/20</t>
  </si>
  <si>
    <t>لولا پایین ساید بای ساید</t>
  </si>
  <si>
    <t>510016363</t>
  </si>
  <si>
    <t>52210009N00574</t>
  </si>
  <si>
    <t>1404/02/02</t>
  </si>
  <si>
    <t>510018453</t>
  </si>
  <si>
    <t>52220004N01583</t>
  </si>
  <si>
    <t>تعویض لوگو — ایاب و ذهاب به عهده شرکت</t>
  </si>
  <si>
    <t>1403/12/04</t>
  </si>
  <si>
    <t>1405/02/13</t>
  </si>
  <si>
    <t>510020309</t>
  </si>
  <si>
    <t>210100003N00328</t>
  </si>
  <si>
    <t>1402/10/23</t>
  </si>
  <si>
    <t>1403/02/09</t>
  </si>
  <si>
    <t>130004231</t>
  </si>
  <si>
    <t>52210005N01155</t>
  </si>
  <si>
    <t>جمع شدن آب داخل محصول — ایاب و ذهاب به عهده مشتری</t>
  </si>
  <si>
    <t>1405/01/29</t>
  </si>
  <si>
    <t>1403/02/17</t>
  </si>
  <si>
    <t>1403/08/27</t>
  </si>
  <si>
    <t>130004235</t>
  </si>
  <si>
    <t>52220004N01975</t>
  </si>
  <si>
    <t>1403/12/06</t>
  </si>
  <si>
    <t>1404/06/17</t>
  </si>
  <si>
    <t>210005374</t>
  </si>
  <si>
    <t>52240001N00523</t>
  </si>
  <si>
    <t>عدم کارکرد یخساز — مجدد — ایاب و ذهاب به عهده شرکت</t>
  </si>
  <si>
    <t>1403/03/27</t>
  </si>
  <si>
    <t>210005441</t>
  </si>
  <si>
    <t>52240001N01596</t>
  </si>
  <si>
    <t>ایاب و ذهاب به عهده شرکت — جدا شدن قالب یخساز</t>
  </si>
  <si>
    <t>1403/07/22</t>
  </si>
  <si>
    <t>210005449</t>
  </si>
  <si>
    <t>52240002N01230</t>
  </si>
  <si>
    <t>ایاب و ذهاب به عهده شرکت خاموش بودن LED کاور / سقفی</t>
  </si>
  <si>
    <t>خرابی ال ای دی داخل کابین - یخچال مینی</t>
  </si>
  <si>
    <t>1404/05/22</t>
  </si>
  <si>
    <t>1404/08/10</t>
  </si>
  <si>
    <t>لامپ مینی</t>
  </si>
  <si>
    <t>510018164</t>
  </si>
  <si>
    <t>52210007N00839</t>
  </si>
  <si>
    <t>پارگی نوار دور درب — ایاب و ذهاب به عهده شرکت</t>
  </si>
  <si>
    <t>1404/04/02</t>
  </si>
  <si>
    <t>510019960</t>
  </si>
  <si>
    <t>52210005N01679</t>
  </si>
  <si>
    <t>بسته نشدن درب — ایاب و ذهاب به عهده شرکت</t>
  </si>
  <si>
    <t>1404/07/21</t>
  </si>
  <si>
    <t>766636</t>
  </si>
  <si>
    <t>210140001N00211</t>
  </si>
  <si>
    <t>1402/11/05</t>
  </si>
  <si>
    <t>1404/02/03</t>
  </si>
  <si>
    <t>810001791</t>
  </si>
  <si>
    <t>52210009N00298</t>
  </si>
  <si>
    <t>1404/12/21</t>
  </si>
  <si>
    <t>810001819</t>
  </si>
  <si>
    <t>52220004N05167</t>
  </si>
  <si>
    <t>نشتی اورینگ پمپ تخلیه</t>
  </si>
  <si>
    <t>210004817</t>
  </si>
  <si>
    <t>52210010N00366</t>
  </si>
  <si>
    <t>لرزش و حرکت محصول — صدای غیرعادی هنگام خشک کن — ایاب و ذهاب به عهده شرکت</t>
  </si>
  <si>
    <t>1405/01/30</t>
  </si>
  <si>
    <t>1403/11/23</t>
  </si>
  <si>
    <t>510020328</t>
  </si>
  <si>
    <t>767088</t>
  </si>
  <si>
    <t>210004823</t>
  </si>
  <si>
    <t>52220004N02355</t>
  </si>
  <si>
    <t>1405/01/31</t>
  </si>
  <si>
    <t>1404/05/14</t>
  </si>
  <si>
    <t>767776</t>
  </si>
  <si>
    <t>اردیبهشت</t>
  </si>
  <si>
    <t>1405-02</t>
  </si>
  <si>
    <t>52220005N00726</t>
  </si>
  <si>
    <t>1405/02/01</t>
  </si>
  <si>
    <t>1403/08/15</t>
  </si>
  <si>
    <t>1404/04/24</t>
  </si>
  <si>
    <t>768255</t>
  </si>
  <si>
    <t>52210007N00761</t>
  </si>
  <si>
    <t>1405/02/02</t>
  </si>
  <si>
    <t>1404/02/19</t>
  </si>
  <si>
    <t>768502</t>
  </si>
  <si>
    <t>52210010N01056</t>
  </si>
  <si>
    <t>1405/02/03</t>
  </si>
  <si>
    <t>1404/03/03</t>
  </si>
  <si>
    <t>768535</t>
  </si>
  <si>
    <t>52220005N02662</t>
  </si>
  <si>
    <t>نشتی از براکت ریل وسط</t>
  </si>
  <si>
    <t>1404/02/06</t>
  </si>
  <si>
    <t>1404/08/12</t>
  </si>
  <si>
    <t>768537</t>
  </si>
  <si>
    <t>52220004N01168</t>
  </si>
  <si>
    <t>جمع شدن آب زیر محصول — ایاب و ذهاب به عهده مشتری</t>
  </si>
  <si>
    <t>باز شدن پرچ داخل کابین</t>
  </si>
  <si>
    <t>1403/09/30</t>
  </si>
  <si>
    <t>1403/12/21</t>
  </si>
  <si>
    <t>310002606</t>
  </si>
  <si>
    <t>52210009N00048</t>
  </si>
  <si>
    <t>عدم عملکرد کلیدهای دیسپلی — ایاب و ذهاب به عهده شرکت</t>
  </si>
  <si>
    <t>1405/02/05</t>
  </si>
  <si>
    <t>1403/10/09</t>
  </si>
  <si>
    <t>769082</t>
  </si>
  <si>
    <t>52220002N02776</t>
  </si>
  <si>
    <t>1404/08/17</t>
  </si>
  <si>
    <t>1404/10/02</t>
  </si>
  <si>
    <t>769267</t>
  </si>
  <si>
    <t>210100006N00248</t>
  </si>
  <si>
    <t>لرزش و حرکت محصول — ایاب و ذهاب به عهده مشتری</t>
  </si>
  <si>
    <t>1402/09/23</t>
  </si>
  <si>
    <t>1403/05/20</t>
  </si>
  <si>
    <t>510016639</t>
  </si>
  <si>
    <t>52210005N01875</t>
  </si>
  <si>
    <t>1405/02/06</t>
  </si>
  <si>
    <t>1404/05/07</t>
  </si>
  <si>
    <t>1405/05/02</t>
  </si>
  <si>
    <t>769694</t>
  </si>
  <si>
    <t>52220005N00758</t>
  </si>
  <si>
    <t>1403/12/19</t>
  </si>
  <si>
    <t>770165</t>
  </si>
  <si>
    <t>52210006N01568</t>
  </si>
  <si>
    <t>قطعی درخت سیم</t>
  </si>
  <si>
    <t>1405/02/07</t>
  </si>
  <si>
    <t>1404/06/16</t>
  </si>
  <si>
    <t>770306</t>
  </si>
  <si>
    <t>گرم شدن محصول ایاب و ذهاب به عهده شرکت</t>
  </si>
  <si>
    <t>نشتی گاز - نامشخص - یخچال مینی</t>
  </si>
  <si>
    <t>1405/02/08</t>
  </si>
  <si>
    <t>130003664</t>
  </si>
  <si>
    <t>52210003N01048</t>
  </si>
  <si>
    <t>صدای غیرعادی هنگام خشک کن — مجدد — ایاب و ذهاب به عهده شرکت</t>
  </si>
  <si>
    <t>1405/02/09</t>
  </si>
  <si>
    <t>1404/03/13</t>
  </si>
  <si>
    <t>770693</t>
  </si>
  <si>
    <t>52220005N03839</t>
  </si>
  <si>
    <t>1404/09/16</t>
  </si>
  <si>
    <t>100003779</t>
  </si>
  <si>
    <t>52230004N00275</t>
  </si>
  <si>
    <t>قطعی صدا در اتصال تلفن همراه به تلویزیون — ایاب و ذهاب به عهده شرکت</t>
  </si>
  <si>
    <t>قطعی صدا در تلویزیون - خرابی مین برد</t>
  </si>
  <si>
    <t>1405/02/10</t>
  </si>
  <si>
    <t>710001205</t>
  </si>
  <si>
    <t>52210007N00595</t>
  </si>
  <si>
    <t>1404/02/10</t>
  </si>
  <si>
    <t>771019</t>
  </si>
  <si>
    <t>52220004N04041</t>
  </si>
  <si>
    <t>1404/09/13</t>
  </si>
  <si>
    <t>771166</t>
  </si>
  <si>
    <t>52240003N00558</t>
  </si>
  <si>
    <t>تنظیم ترموستات</t>
  </si>
  <si>
    <t>1405/02/12</t>
  </si>
  <si>
    <t>1403/10/23</t>
  </si>
  <si>
    <t>771202</t>
  </si>
  <si>
    <t>52210003N01135</t>
  </si>
  <si>
    <t>خطای E1 — ایاب و ذهاب به عهده مشتری</t>
  </si>
  <si>
    <t>1403/02/10</t>
  </si>
  <si>
    <t>1403/11/27</t>
  </si>
  <si>
    <t>771209</t>
  </si>
  <si>
    <t>52240001N01938</t>
  </si>
  <si>
    <t>عایق کاری ورودی یخساز - ساید بای ساید</t>
  </si>
  <si>
    <t>771374</t>
  </si>
  <si>
    <t>52220002N01848</t>
  </si>
  <si>
    <t>1403/11/16</t>
  </si>
  <si>
    <t>1404/02/09</t>
  </si>
  <si>
    <t>130008450</t>
  </si>
  <si>
    <t>52230003N00401</t>
  </si>
  <si>
    <t>از کار افتادن محصول ایاب و ذهاب به عهده مشتری</t>
  </si>
  <si>
    <t>خرابی مین برد</t>
  </si>
  <si>
    <t>1403/08/02</t>
  </si>
  <si>
    <t>510016831</t>
  </si>
  <si>
    <t>52210010N00834</t>
  </si>
  <si>
    <t>1404/02/17</t>
  </si>
  <si>
    <t>772120</t>
  </si>
  <si>
    <t>52210007N01116</t>
  </si>
  <si>
    <t>772264</t>
  </si>
  <si>
    <t>52220005N04527</t>
  </si>
  <si>
    <t>1404/08/18</t>
  </si>
  <si>
    <t>1405/02/19</t>
  </si>
  <si>
    <t>130003757</t>
  </si>
  <si>
    <t>52220005N00148</t>
  </si>
  <si>
    <t>1405/02/14</t>
  </si>
  <si>
    <t>1403/07/12</t>
  </si>
  <si>
    <t>1404/09/26</t>
  </si>
  <si>
    <t>772652</t>
  </si>
  <si>
    <t>52210008N01398</t>
  </si>
  <si>
    <t>خرابی دیسپلی</t>
  </si>
  <si>
    <t>1404/06/12</t>
  </si>
  <si>
    <t>1404/06/26</t>
  </si>
  <si>
    <t>210008359</t>
  </si>
  <si>
    <t>52240001N01301</t>
  </si>
  <si>
    <t>صدای غیرعادی درب ایاب و ذهاب به عهده مشتری</t>
  </si>
  <si>
    <t>تعویض آرام بند - ساید بای ساید</t>
  </si>
  <si>
    <t>1405/02/15</t>
  </si>
  <si>
    <t>1403/06/04</t>
  </si>
  <si>
    <t>آرام‌بند درب ساید بای ساید</t>
  </si>
  <si>
    <t>210009179</t>
  </si>
  <si>
    <t>خاموش بودن LED کاور / سقفی — ایاب و ذهاب به عهده شرکت</t>
  </si>
  <si>
    <t>خرابی LED</t>
  </si>
  <si>
    <t>210006698</t>
  </si>
  <si>
    <t>52210007N01041</t>
  </si>
  <si>
    <t>ریزش آب از درب — ایاب و ذهاب به عهده شرکت</t>
  </si>
  <si>
    <t>1405/02/16</t>
  </si>
  <si>
    <t>1404/03/21</t>
  </si>
  <si>
    <t>1404/06/03</t>
  </si>
  <si>
    <t>210007726</t>
  </si>
  <si>
    <t>52220004N05186</t>
  </si>
  <si>
    <t>1404/09/22</t>
  </si>
  <si>
    <t>773306</t>
  </si>
  <si>
    <t>52220005N04325</t>
  </si>
  <si>
    <t>خطای F54 — مجدد — ایاب و ذهاب به عهده شرکت</t>
  </si>
  <si>
    <t>1404/11/09</t>
  </si>
  <si>
    <t>210007720</t>
  </si>
  <si>
    <t>52240001N01048</t>
  </si>
  <si>
    <t>1405/02/17</t>
  </si>
  <si>
    <t>1403/04/14</t>
  </si>
  <si>
    <t>1404/07/27</t>
  </si>
  <si>
    <t>210014741</t>
  </si>
  <si>
    <t>210100004N00012</t>
  </si>
  <si>
    <t>عدم عملکرد کلیدهای دیسپلی ایاب و ذهاب به عهده مشتری</t>
  </si>
  <si>
    <t>1402/08/09</t>
  </si>
  <si>
    <t>710001786</t>
  </si>
  <si>
    <t>52210003N01370</t>
  </si>
  <si>
    <t>پارگی تسمه</t>
  </si>
  <si>
    <t>1403/11/10</t>
  </si>
  <si>
    <t>تسمه لباسشویی</t>
  </si>
  <si>
    <t>810002486</t>
  </si>
  <si>
    <t>52240001N00372</t>
  </si>
  <si>
    <t>گرم شدن محصول — ایاب و ذهاب به عهده مشتری</t>
  </si>
  <si>
    <t>خرابی کمپرسور - از کارافتادن - ساید بای ساید</t>
  </si>
  <si>
    <t>1403/04/02</t>
  </si>
  <si>
    <t>1403/12/05</t>
  </si>
  <si>
    <t>کمپرسور ساید بای ساید</t>
  </si>
  <si>
    <t>810002893</t>
  </si>
  <si>
    <t>52220004N04080</t>
  </si>
  <si>
    <t>ایاب و ذهاب به عهده شرکت جمع شدن آب داخل محصول</t>
  </si>
  <si>
    <t>1404/08/06</t>
  </si>
  <si>
    <t>810004652</t>
  </si>
  <si>
    <t>52210004N01516</t>
  </si>
  <si>
    <t>1404/05/26</t>
  </si>
  <si>
    <t>774233</t>
  </si>
  <si>
    <t>52240001N01928</t>
  </si>
  <si>
    <t>عدم تخلیه یخ به صورت قالبی — ایاب و ذهاب به عهده شرکت</t>
  </si>
  <si>
    <t>774240</t>
  </si>
  <si>
    <t>52210006N01067</t>
  </si>
  <si>
    <t>اصلاح سوکت میکروسوئیچ</t>
  </si>
  <si>
    <t>774878</t>
  </si>
  <si>
    <t>52220003N01615</t>
  </si>
  <si>
    <t>1405/02/20</t>
  </si>
  <si>
    <t>210008229</t>
  </si>
  <si>
    <t>52210010N02062</t>
  </si>
  <si>
    <t>ایاب و ذهاب به عهده شرکت خطای CE</t>
  </si>
  <si>
    <t>از کار افتادن محصول -خرابی برد</t>
  </si>
  <si>
    <t>1405/02/21</t>
  </si>
  <si>
    <t>1404/09/05</t>
  </si>
  <si>
    <t>1404/09/18</t>
  </si>
  <si>
    <t>775086</t>
  </si>
  <si>
    <t>52220002N01535</t>
  </si>
  <si>
    <t>باز نشدن درب ایاب و ذهاب به عهده شرکت</t>
  </si>
  <si>
    <t>1403/10/28</t>
  </si>
  <si>
    <t>775632</t>
  </si>
  <si>
    <t>52220003N02491</t>
  </si>
  <si>
    <t>1405/02/22</t>
  </si>
  <si>
    <t>1404/07/08</t>
  </si>
  <si>
    <t>1404/10/20</t>
  </si>
  <si>
    <t>776160</t>
  </si>
  <si>
    <t>CWM-BMW9T2</t>
  </si>
  <si>
    <t>52210015N00213</t>
  </si>
  <si>
    <t>1405/02/23</t>
  </si>
  <si>
    <t>776362</t>
  </si>
  <si>
    <t>52220005N02660</t>
  </si>
  <si>
    <t>1404/06/30</t>
  </si>
  <si>
    <t>210009817</t>
  </si>
  <si>
    <t>CTV-75QMJS4</t>
  </si>
  <si>
    <t>52230008N00018</t>
  </si>
  <si>
    <t>عدم عملکرد ریموت کنترل ایاب و ذهاب به عهده شرکت</t>
  </si>
  <si>
    <t>1405/02/27</t>
  </si>
  <si>
    <t>کنترل تلویزیون</t>
  </si>
  <si>
    <t>510017367</t>
  </si>
  <si>
    <t>CWM-H10VCR1</t>
  </si>
  <si>
    <t>52210011N00704</t>
  </si>
  <si>
    <t>1404/12/02</t>
  </si>
  <si>
    <t>130003972</t>
  </si>
  <si>
    <t>52230003N00884</t>
  </si>
  <si>
    <t>عدم نمایش تصویر در اتصال با بلوتوث — ایاب و ذهاب به عهده شرکت</t>
  </si>
  <si>
    <t>متصل نبودن سوکت WIFI</t>
  </si>
  <si>
    <t>1405/02/28</t>
  </si>
  <si>
    <t>1405/02/26</t>
  </si>
  <si>
    <t>210009809</t>
  </si>
  <si>
    <t>CM-RS5RE1</t>
  </si>
  <si>
    <t>52240003N01096</t>
  </si>
  <si>
    <t>1404/06/29</t>
  </si>
  <si>
    <t>778100</t>
  </si>
  <si>
    <t>52210009N02113</t>
  </si>
  <si>
    <t>1404/07/26</t>
  </si>
  <si>
    <t>210006788</t>
  </si>
  <si>
    <t>CM-RS5BK2</t>
  </si>
  <si>
    <t>52240004N00285</t>
  </si>
  <si>
    <t>سوختن کمپرسور - یخچال مینی</t>
  </si>
  <si>
    <t>1405/02/29</t>
  </si>
  <si>
    <t>1403/11/24</t>
  </si>
  <si>
    <t>کمپرسور مینی</t>
  </si>
  <si>
    <t>775970</t>
  </si>
  <si>
    <t>52240001N01673</t>
  </si>
  <si>
    <t>1403/09/17</t>
  </si>
  <si>
    <t>1404/06/05</t>
  </si>
  <si>
    <t>130004037</t>
  </si>
  <si>
    <t>52220005N01629</t>
  </si>
  <si>
    <t>خطای F12 — ایاب و ذهاب به عهده مشتری</t>
  </si>
  <si>
    <t>1405/02/31</t>
  </si>
  <si>
    <t>1403/11/11</t>
  </si>
  <si>
    <t>210005400</t>
  </si>
  <si>
    <t>52210008N00878</t>
  </si>
  <si>
    <t>ایاب و ذهاب به عهده شرکت صدای غیرعادی هنگام خشک کن</t>
  </si>
  <si>
    <t>1404/03/20</t>
  </si>
  <si>
    <t>210005406</t>
  </si>
  <si>
    <t>52210002N00242</t>
  </si>
  <si>
    <t>310000608</t>
  </si>
  <si>
    <t>210120001N00120</t>
  </si>
  <si>
    <t>1403/03/07</t>
  </si>
  <si>
    <t>1403/06/05</t>
  </si>
  <si>
    <t>779873</t>
  </si>
  <si>
    <t>خرداد</t>
  </si>
  <si>
    <t>1405-03</t>
  </si>
  <si>
    <t>52240001N01882</t>
  </si>
  <si>
    <t>1405/03/02</t>
  </si>
  <si>
    <t>1403/09/04</t>
  </si>
  <si>
    <t>210004739</t>
  </si>
  <si>
    <t>52210008N00988</t>
  </si>
  <si>
    <t>1405/03/03</t>
  </si>
  <si>
    <t>210007876</t>
  </si>
  <si>
    <t>52240001N01143</t>
  </si>
  <si>
    <t>صدای غیرعادی درب — ایاب و ذهاب به عهده مشتری</t>
  </si>
  <si>
    <t>گریسکاری درب - ساید بای ساید</t>
  </si>
  <si>
    <t>510017610</t>
  </si>
  <si>
    <t>52240001N01913</t>
  </si>
  <si>
    <t>نشتی از فیتینگی پشت جلوپایی - ساید بای ساید</t>
  </si>
  <si>
    <t>1403/09/06</t>
  </si>
  <si>
    <t>780467</t>
  </si>
  <si>
    <t>ایاب و ذهاب به عهده شرکت از کار افتادن محصول</t>
  </si>
  <si>
    <t>خرابی موتور</t>
  </si>
  <si>
    <t>موتور لباسشویی</t>
  </si>
  <si>
    <t>130004136</t>
  </si>
  <si>
    <t>52210014N00424</t>
  </si>
  <si>
    <t>1405/03/05</t>
  </si>
  <si>
    <t>781296</t>
  </si>
  <si>
    <t>52240002N00359</t>
  </si>
  <si>
    <t>210009186</t>
  </si>
  <si>
    <t>52220004N01300</t>
  </si>
  <si>
    <t>خرابی برد - از کار افتادن</t>
  </si>
  <si>
    <t>1405/03/07</t>
  </si>
  <si>
    <t>1403/10/02</t>
  </si>
  <si>
    <t>1404/01/05</t>
  </si>
  <si>
    <t>برد ظرفشویی</t>
  </si>
  <si>
    <t>781905</t>
  </si>
  <si>
    <t>52220005N02169</t>
  </si>
  <si>
    <t>تنظیم دیسپلی - پایین بودن میکروسوئیچ درب</t>
  </si>
  <si>
    <t>1404/01/20</t>
  </si>
  <si>
    <t>210007436</t>
  </si>
  <si>
    <t>افتادگی درب/ تنظیم درب — ایاب و ذهاب به عهده مشتری</t>
  </si>
  <si>
    <t>1405/03/09</t>
  </si>
  <si>
    <t>210007557</t>
  </si>
  <si>
    <t>210120001N00221</t>
  </si>
  <si>
    <t>عدم قرار گیری قالب یخساز در جایگاه - ساید بای ساید</t>
  </si>
  <si>
    <t>1403/03/17</t>
  </si>
  <si>
    <t>1404/12/18</t>
  </si>
  <si>
    <t>210009117</t>
  </si>
  <si>
    <t>ایاب و ذهاب به عهده شرکت خطای E6</t>
  </si>
  <si>
    <t>خرابی سنسور یخساز - ساید بای ساید</t>
  </si>
  <si>
    <t>سنسور یخساز ساید بای ساید</t>
  </si>
  <si>
    <t>210009132</t>
  </si>
  <si>
    <t>52220005N00890</t>
  </si>
  <si>
    <t>1403/08/28</t>
  </si>
  <si>
    <t>210013253</t>
  </si>
  <si>
    <t>52240003N01957</t>
  </si>
  <si>
    <t>1405/03/04</t>
  </si>
  <si>
    <t>210007409</t>
  </si>
  <si>
    <t>52210005N01412</t>
  </si>
  <si>
    <t>1405/03/10</t>
  </si>
  <si>
    <t>210014173</t>
  </si>
  <si>
    <t>خاموش و روشن شدن LED کاور / سقفی — مجدد — ایاب و ذهاب به عهده شرکت</t>
  </si>
  <si>
    <t>210004767</t>
  </si>
  <si>
    <t>52240001N01829</t>
  </si>
  <si>
    <t>خرابی یخساز - عدم چرخش کامل یخساز - ساید بای ساید</t>
  </si>
  <si>
    <t>1405/03/11</t>
  </si>
  <si>
    <t>مکانیزم/مجموعه یخساز ساید بای ساید</t>
  </si>
  <si>
    <t>210008812</t>
  </si>
  <si>
    <t>52220004N00440</t>
  </si>
  <si>
    <t>1403/07/24</t>
  </si>
  <si>
    <t>1403/08/22</t>
  </si>
  <si>
    <t>310000351</t>
  </si>
  <si>
    <t>بسته نشدن درب — ریزش آب از درب — ایاب و ذهاب به عهده شرکت</t>
  </si>
  <si>
    <t>تنظیم دیسپلی ( مایع جلادهنده/ صدای دیسپلی/ باز شدن یا باز نشدن درب )</t>
  </si>
  <si>
    <t>510017943</t>
  </si>
  <si>
    <t>210120001N00335</t>
  </si>
  <si>
    <t>710000346</t>
  </si>
  <si>
    <t>52210007N01410</t>
  </si>
  <si>
    <t>1405/03/12</t>
  </si>
  <si>
    <t>1404/05/18</t>
  </si>
  <si>
    <t>310000805</t>
  </si>
  <si>
    <t>52220004N04922</t>
  </si>
  <si>
    <t>1405/03/16</t>
  </si>
  <si>
    <t>1404/08/25</t>
  </si>
  <si>
    <t>210006091</t>
  </si>
  <si>
    <t>52220004N02155</t>
  </si>
  <si>
    <t>1405/03/17</t>
  </si>
  <si>
    <t>1404/01/19</t>
  </si>
  <si>
    <t>1404/06/13</t>
  </si>
  <si>
    <t>210006821</t>
  </si>
  <si>
    <t>52240001N01110</t>
  </si>
  <si>
    <t>1405/03/18</t>
  </si>
  <si>
    <t>1403/05/03</t>
  </si>
  <si>
    <t>210006874</t>
  </si>
  <si>
    <t>52220004N04701</t>
  </si>
  <si>
    <t>1405/03/19</t>
  </si>
  <si>
    <t>1404/08/21</t>
  </si>
  <si>
    <t>210006953</t>
  </si>
  <si>
    <t>52240001N00630</t>
  </si>
  <si>
    <t>1403/07/01</t>
  </si>
  <si>
    <t>210007178</t>
  </si>
  <si>
    <t>52210006N00678</t>
  </si>
  <si>
    <t>1405/03/20</t>
  </si>
  <si>
    <t>1403/02/02</t>
  </si>
  <si>
    <t>1403/02/24</t>
  </si>
  <si>
    <t>210013242</t>
  </si>
  <si>
    <t>52240001N00637</t>
  </si>
  <si>
    <t>افتادگی درب/ تنظیم درب ایاب و ذهاب به عهده شرکت</t>
  </si>
  <si>
    <t>شکستگی قاب لولا - ساید بای ساید</t>
  </si>
  <si>
    <t>1403/03/13</t>
  </si>
  <si>
    <t>1404/07/22</t>
  </si>
  <si>
    <t>قاب لولا ساید بای ساید</t>
  </si>
  <si>
    <t>210008506</t>
  </si>
  <si>
    <t>52240001N00773</t>
  </si>
  <si>
    <t>آلارم خودبخودی محصول — اختلاف ارتفاع درب یخچال و فریزر — ایاب و ذهاب به عهده مشتری</t>
  </si>
  <si>
    <t>خرابی برد - آلارم خود بخودی محصول - ساید بای ساید</t>
  </si>
  <si>
    <t>1405/03/21</t>
  </si>
  <si>
    <t>1403/04/09</t>
  </si>
  <si>
    <t>210009082</t>
  </si>
  <si>
    <t>52240001N01164</t>
  </si>
  <si>
    <t>1405/03/22</t>
  </si>
  <si>
    <t>1404/09/29</t>
  </si>
  <si>
    <t>210008839</t>
  </si>
  <si>
    <t>52220003N00607</t>
  </si>
  <si>
    <t>1405/03/23</t>
  </si>
  <si>
    <t>1403/03/26</t>
  </si>
  <si>
    <t>1403/04/16</t>
  </si>
  <si>
    <t>210008929</t>
  </si>
  <si>
    <t>52220005N02101</t>
  </si>
  <si>
    <t>عدم تخلیه آب داخل ماشین ظرفشویی — ایاب و ذهاب به عهده مشتری — خطای F54</t>
  </si>
  <si>
    <t>1404/01/08</t>
  </si>
  <si>
    <t>210010846</t>
  </si>
  <si>
    <t>52220004N02290</t>
  </si>
  <si>
    <t>1405/03/30</t>
  </si>
  <si>
    <t>1404/01/21</t>
  </si>
  <si>
    <t>1405/03/26</t>
  </si>
  <si>
    <t>210012222</t>
  </si>
  <si>
    <t>تیر</t>
  </si>
  <si>
    <t>1405-04</t>
  </si>
  <si>
    <t>52240001N01897</t>
  </si>
  <si>
    <t>ایاب و ذهاب به عهده شرکت عدم تخلیه یخ به صورت قالبی</t>
  </si>
  <si>
    <t>1405/04/02</t>
  </si>
  <si>
    <t>1403/09/10</t>
  </si>
  <si>
    <t>1405/03/28</t>
  </si>
  <si>
    <t>210013035</t>
  </si>
  <si>
    <t>52240001N01019</t>
  </si>
  <si>
    <t>عدم تخلیه یخ به صورت قالبی — ایاب و ذهاب به عهده مشتری</t>
  </si>
  <si>
    <t>خرابی شیربرقی فریزر - ساید بای ساید</t>
  </si>
  <si>
    <t>1405/04/08</t>
  </si>
  <si>
    <t>1403/04/19</t>
  </si>
  <si>
    <t>1403/10/06</t>
  </si>
  <si>
    <t>شیر برقی ساید بای ساید</t>
  </si>
  <si>
    <t>210013847</t>
  </si>
  <si>
    <t>52240001N00748</t>
  </si>
  <si>
    <t>1405/04/14</t>
  </si>
  <si>
    <t>1403/11/18</t>
  </si>
  <si>
    <t>210014545</t>
  </si>
  <si>
    <t>52240001N00477</t>
  </si>
  <si>
    <t>1405/04/20</t>
  </si>
  <si>
    <t>1403/03/29</t>
  </si>
  <si>
    <t>1403/08/20</t>
  </si>
  <si>
    <t>130005241</t>
  </si>
  <si>
    <t>مرداد</t>
  </si>
  <si>
    <t>1405-05</t>
  </si>
  <si>
    <t>CDW-H15VW1</t>
  </si>
  <si>
    <t>210140003N00273</t>
  </si>
  <si>
    <t>1405/05/01</t>
  </si>
  <si>
    <t>1403/03/16</t>
  </si>
  <si>
    <t>DW-HS مقسم حوضچه آب ماشین ظرفشویی</t>
  </si>
  <si>
    <t>130008765</t>
  </si>
  <si>
    <t>CWM-BMW8VI1</t>
  </si>
  <si>
    <t>52210004N01019</t>
  </si>
  <si>
    <t>خطای DE — ایاب و ذهاب به عهده شرکت</t>
  </si>
  <si>
    <t>اصلاح سوکت قفل درب</t>
  </si>
  <si>
    <t>1403/12/26</t>
  </si>
  <si>
    <t>1404/12/19</t>
  </si>
  <si>
    <t>210016686</t>
  </si>
  <si>
    <t>52220004N00350</t>
  </si>
  <si>
    <t>210016804</t>
  </si>
  <si>
    <t>CDW-H16TW1</t>
  </si>
  <si>
    <t>52220005N00667</t>
  </si>
  <si>
    <t>قلاب میکروسوئیچ ماشین ظرفشویی CDW-H13\CDW-H15\CDW-H16</t>
  </si>
  <si>
    <t>510022694</t>
  </si>
  <si>
    <t>52210004N01100</t>
  </si>
  <si>
    <t>خطای UE — ایاب و ذهاب به عهده مشتری</t>
  </si>
  <si>
    <t>1404/02/23</t>
  </si>
  <si>
    <t>1404/04/26</t>
  </si>
  <si>
    <t>BMW-8V برد ماشین لباسشویی</t>
  </si>
  <si>
    <t>210016840</t>
  </si>
  <si>
    <t>52240003N01005</t>
  </si>
  <si>
    <t>شکستگی دستگیره — ایاب و ذهاب به عهده شرکت</t>
  </si>
  <si>
    <t>شکستگی دستگیره</t>
  </si>
  <si>
    <t>1404/01/14</t>
  </si>
  <si>
    <t>MINI دستگیره درب یخچال</t>
  </si>
  <si>
    <t>210016956</t>
  </si>
  <si>
    <t>52240001N01982</t>
  </si>
  <si>
    <t>شکستگی قالب یخساز — ایاب و ذهاب به عهده مشتری</t>
  </si>
  <si>
    <t>شکستگی قالب یخساز - ساید بای ساید</t>
  </si>
  <si>
    <t>1405/05/03</t>
  </si>
  <si>
    <t>1403/09/11</t>
  </si>
  <si>
    <t>C2S-29HS1 قالب یخ ساید بای ساید</t>
  </si>
  <si>
    <t>210016958</t>
  </si>
  <si>
    <t>DW-HS-16 برد ماشین ظرفشویی</t>
  </si>
  <si>
    <t>310006831</t>
  </si>
  <si>
    <t>52220005N02589</t>
  </si>
  <si>
    <t>زنگ زدگی — ایاب و ذهاب به عهده شرکت</t>
  </si>
  <si>
    <t>زنگ زدگی سبد ظرفشویی</t>
  </si>
  <si>
    <t>DW-HS-16 سبد پایین ماشین ظرفشویی</t>
  </si>
  <si>
    <t>803211</t>
  </si>
  <si>
    <t>52240001N01417</t>
  </si>
  <si>
    <t>کمپرسور اینورتر سایدبای ساید C2S-29HS1-VFL110CY</t>
  </si>
  <si>
    <t>210017071</t>
  </si>
  <si>
    <t>52210004N01381</t>
  </si>
  <si>
    <t>لرزش درب — ایاب و ذهاب به عهده شرکت</t>
  </si>
  <si>
    <t>1405/05/04</t>
  </si>
  <si>
    <t>210017095</t>
  </si>
  <si>
    <t>52220004N02221</t>
  </si>
  <si>
    <t>خطای F1 — ایاب و ذهاب به عهده شرکت</t>
  </si>
  <si>
    <t>غیر گارانتی</t>
  </si>
  <si>
    <t>1404/05/11</t>
  </si>
  <si>
    <t>210017131</t>
  </si>
  <si>
    <t>CM-RS5BL1</t>
  </si>
  <si>
    <t>52240005N00063</t>
  </si>
  <si>
    <t>خاموش بودن LED کاور / سقفی — ایاب و ذهاب به عهده مشتری</t>
  </si>
  <si>
    <t>MINI LED یخچال</t>
  </si>
  <si>
    <t>210017169</t>
  </si>
  <si>
    <t>52240003N00743</t>
  </si>
  <si>
    <t>1403/12/14</t>
  </si>
  <si>
    <t>310006922</t>
  </si>
  <si>
    <t>CWM-BMW9TW1</t>
  </si>
  <si>
    <t>52210007N00806</t>
  </si>
  <si>
    <t>1404/03/17</t>
  </si>
  <si>
    <t>310006971</t>
  </si>
  <si>
    <t>CWM-BMW8TW3</t>
  </si>
  <si>
    <t>52210013N00195</t>
  </si>
  <si>
    <t>کسری قطعات پک بسته بندی - کد قطعه در لیست اقدامات درج می گردد. — ایاب و ذهاب به عهده شرکت</t>
  </si>
  <si>
    <t>کسری پک بسته بندی</t>
  </si>
  <si>
    <t>BMW شیلنگ ورودی آب ماشین لباسشویی</t>
  </si>
  <si>
    <t>510022884</t>
  </si>
  <si>
    <t>CDW-K14BW1</t>
  </si>
  <si>
    <t>52220007N00285</t>
  </si>
  <si>
    <t>خطای E5 — ایاب و ذهاب به عهده مشتری</t>
  </si>
  <si>
    <t>810004918</t>
  </si>
  <si>
    <t>52240003N00980</t>
  </si>
  <si>
    <t>MINI کلید فشاری یخچال</t>
  </si>
  <si>
    <t>1403/12/27</t>
  </si>
  <si>
    <t>1405/04/30</t>
  </si>
  <si>
    <t>210017281</t>
  </si>
  <si>
    <t>52220003N01628</t>
  </si>
  <si>
    <t>باز شدن درب حین شست و شو — ایاب و ذهاب به عهده مشتری</t>
  </si>
  <si>
    <t>1405/05/05</t>
  </si>
  <si>
    <t>1404/04/06</t>
  </si>
  <si>
    <t>210017334</t>
  </si>
  <si>
    <t>52220005N02989</t>
  </si>
  <si>
    <t>بسته نشدن درب — عدم عملکرد کلیدهای دیسپلی — ایاب و ذهاب به عهده شرکت</t>
  </si>
  <si>
    <t>210017383</t>
  </si>
  <si>
    <t>52240001N01243</t>
  </si>
  <si>
    <t>1403/05/27</t>
  </si>
  <si>
    <t>1403/08/07</t>
  </si>
  <si>
    <t>210017385</t>
  </si>
  <si>
    <t>52220005N00939</t>
  </si>
  <si>
    <t>مشاهده لکه روی ظروف — ایاب و ذهاب به عهده مشتری</t>
  </si>
  <si>
    <t>1403/11/08</t>
  </si>
  <si>
    <t>210017424</t>
  </si>
  <si>
    <t>52220005N00799</t>
  </si>
  <si>
    <t>1403/08/19</t>
  </si>
  <si>
    <t>1403/12/12</t>
  </si>
  <si>
    <t>510022914</t>
  </si>
  <si>
    <t>52240003N01043</t>
  </si>
  <si>
    <t>کسری قطعات تزئینی پک قطعات داخلی</t>
  </si>
  <si>
    <t>MINI شلف بزرگ یخچال</t>
  </si>
  <si>
    <t>810004925</t>
  </si>
  <si>
    <t>52220005N03163</t>
  </si>
  <si>
    <t>باز شدن درب حین شست و شو — ایاب و ذهاب به عهده شرکت</t>
  </si>
  <si>
    <t>1404/10/17</t>
  </si>
  <si>
    <t>810004999</t>
  </si>
  <si>
    <t>CWM-BMW8TW2</t>
  </si>
  <si>
    <t>52210009N01919</t>
  </si>
  <si>
    <t>1405/05/06</t>
  </si>
  <si>
    <t>210017675</t>
  </si>
  <si>
    <t>52240001N01072</t>
  </si>
  <si>
    <t>1405/05/07</t>
  </si>
  <si>
    <t>دمپر پلاستیکی استوانه ای ساید بای ساید C2S-29HS1</t>
  </si>
  <si>
    <t>210017702</t>
  </si>
  <si>
    <t>52240001N02072</t>
  </si>
  <si>
    <t>1403/09/19</t>
  </si>
  <si>
    <t>دمپر پلاستیکی گرد ساید بای ساید C2S-29HS1</t>
  </si>
  <si>
    <t>210017703</t>
  </si>
  <si>
    <t>52220004N05024</t>
  </si>
  <si>
    <t>210017735</t>
  </si>
  <si>
    <t>210120001N00010</t>
  </si>
  <si>
    <t>1403/03/21</t>
  </si>
  <si>
    <t>1403/09/26</t>
  </si>
  <si>
    <t>C2S-29HS1 برد اینورتر کمپرسور ساید بای ساید</t>
  </si>
  <si>
    <t>510023047</t>
  </si>
  <si>
    <t>52220005N01832</t>
  </si>
  <si>
    <t>210017847</t>
  </si>
  <si>
    <t>52220005N05234</t>
  </si>
  <si>
    <t>1405/05/08</t>
  </si>
  <si>
    <t>1404/09/01</t>
  </si>
  <si>
    <t>210017912</t>
  </si>
  <si>
    <t>52240001N01918</t>
  </si>
  <si>
    <t>فاصله درب از کابین</t>
  </si>
  <si>
    <t>710004092</t>
  </si>
  <si>
    <t>130009304</t>
  </si>
  <si>
    <t>52210007N01185</t>
  </si>
  <si>
    <t>پارگی نوار گسکت</t>
  </si>
  <si>
    <t>1405/05/10</t>
  </si>
  <si>
    <t>1404/05/06</t>
  </si>
  <si>
    <t>1404/06/20</t>
  </si>
  <si>
    <t>نوار گسکت درب ماشین لباسشویی BMW 8T&amp;9T</t>
  </si>
  <si>
    <t>210012219</t>
  </si>
  <si>
    <t>52240001N00833</t>
  </si>
  <si>
    <t>شکستگی قطعات تزئینی کابین- کد قطعه در لیست اقدامات درج می گردد. — غیرگارانتی</t>
  </si>
  <si>
    <t>شکستگی قطعات تزئینی داخل کابین</t>
  </si>
  <si>
    <t>1403/04/17</t>
  </si>
  <si>
    <t>1403/10/11</t>
  </si>
  <si>
    <t>210018081</t>
  </si>
  <si>
    <t>CWM-BMW8TI2</t>
  </si>
  <si>
    <t>52210010N01473</t>
  </si>
  <si>
    <t>210018087</t>
  </si>
  <si>
    <t>52240001N00858</t>
  </si>
  <si>
    <t>اصلاح شیلنگ یخساز</t>
  </si>
  <si>
    <t>210018186</t>
  </si>
  <si>
    <t>52240003N00529</t>
  </si>
  <si>
    <t>1403/10/22</t>
  </si>
  <si>
    <t>510023219</t>
  </si>
  <si>
    <t>52210010N02061</t>
  </si>
  <si>
    <t>عدم عملکرد کلیدهای دیسپلی — از کار افتادن محصول — ایاب و ذهاب به عهده شرکت</t>
  </si>
  <si>
    <t>عدم نصب سوکت موتور روی برد</t>
  </si>
  <si>
    <t>اصلاح سوکت</t>
  </si>
  <si>
    <t>810005154</t>
  </si>
  <si>
    <t>52240001N00813</t>
  </si>
  <si>
    <t>ترک وان — ایاب و ذهاب به عهده مشتری</t>
  </si>
  <si>
    <t>210018303</t>
  </si>
  <si>
    <t>52220005N00261</t>
  </si>
  <si>
    <t>1405/05/11</t>
  </si>
  <si>
    <t>1403/07/18</t>
  </si>
  <si>
    <t>210018344</t>
  </si>
  <si>
    <t>52240001N02070</t>
  </si>
  <si>
    <t>210018440</t>
  </si>
  <si>
    <t>خاموش بودن LED کاور / سقفی — مجدد — ایاب و ذهاب به عهده شرکت</t>
  </si>
  <si>
    <t>1405/05/12</t>
  </si>
  <si>
    <t>1404/04/22</t>
  </si>
  <si>
    <t>1404/08/04</t>
  </si>
  <si>
    <t>210018459</t>
  </si>
  <si>
    <t>52210009N01247</t>
  </si>
  <si>
    <t>ریست دیسپلی — ایاب و ذهاب به عهده شرکت</t>
  </si>
  <si>
    <t>خرابی برد نمایشگر</t>
  </si>
  <si>
    <t>BMW-9T برد نمایشگر ماشین لباسشویی</t>
  </si>
  <si>
    <t>310007559</t>
  </si>
  <si>
    <t>52240002N00398</t>
  </si>
  <si>
    <t>MINI ترموستات یخچال</t>
  </si>
  <si>
    <t>710004197</t>
  </si>
  <si>
    <t>52220005N01584</t>
  </si>
  <si>
    <t>زنگ زدگی کابین — ایاب و ذهاب به عهده مشتری</t>
  </si>
  <si>
    <t>210018575</t>
  </si>
  <si>
    <t>52240001N01880</t>
  </si>
  <si>
    <t>1405/05/13</t>
  </si>
  <si>
    <t>C2S-29HS1 سنسور یخساز ساید بای ساید</t>
  </si>
  <si>
    <t>130009511</t>
  </si>
  <si>
    <t>52240001N01044</t>
  </si>
  <si>
    <t>1405/05/14</t>
  </si>
  <si>
    <t>C2S-29HS1 دمپر کامل خروجی یخساز ساید بای ساید</t>
  </si>
  <si>
    <t>210018623</t>
  </si>
  <si>
    <t>CWM-BMW7.5VW1</t>
  </si>
  <si>
    <t>52210001N00523</t>
  </si>
  <si>
    <t>صدای لرزش شیلنگ پمپ تخلیه - عایق کاری</t>
  </si>
  <si>
    <t>1404/06/19</t>
  </si>
  <si>
    <t>510023398</t>
  </si>
  <si>
    <t>210100001N00175</t>
  </si>
  <si>
    <t>عدم تخلیه آب کثیف داخل درام — ایاب و ذهاب به عهده مشتری</t>
  </si>
  <si>
    <t>1403/01/06</t>
  </si>
  <si>
    <t>1403/05/07</t>
  </si>
  <si>
    <t>510023485</t>
  </si>
  <si>
    <t>52240001N02015</t>
  </si>
  <si>
    <t>1403/09/12</t>
  </si>
  <si>
    <t>1404/02/21</t>
  </si>
  <si>
    <t>C2S-29HS1 شیربرقی ساید بای ساید</t>
  </si>
  <si>
    <t>210018851</t>
  </si>
  <si>
    <t>52240002N00908</t>
  </si>
  <si>
    <t>خرابی کمپرسور</t>
  </si>
  <si>
    <t>1405/05/15</t>
  </si>
  <si>
    <t>کمپرسور EMX26 MINI</t>
  </si>
  <si>
    <t>210018913</t>
  </si>
  <si>
    <t>52230003N00408</t>
  </si>
  <si>
    <t>1403/12/20</t>
  </si>
  <si>
    <t>TV-HS-43&amp;50&amp;55 کنترل تلویزیون</t>
  </si>
  <si>
    <t>310007778</t>
  </si>
  <si>
    <t>52220004N00520</t>
  </si>
  <si>
    <t>1403/07/29</t>
  </si>
  <si>
    <t>510023639</t>
  </si>
  <si>
    <t>خرابی موتور یخساز</t>
  </si>
  <si>
    <t>1403/05/29</t>
  </si>
  <si>
    <t>C2S-29HS1 موتور یخساز ساید بای ساید</t>
  </si>
  <si>
    <t>510023668</t>
  </si>
  <si>
    <t>52220004N04192</t>
  </si>
  <si>
    <t>عدم تخلیه آب داخل ماشین ظرفشویی — ایاب و ذهاب به عهده شرکت</t>
  </si>
  <si>
    <t>1405/05/16</t>
  </si>
  <si>
    <t>130009640</t>
  </si>
  <si>
    <t>52240001N01358</t>
  </si>
  <si>
    <t>ترک وان</t>
  </si>
  <si>
    <t>1405/05/17</t>
  </si>
  <si>
    <t>1403/11/20</t>
  </si>
  <si>
    <t>130009673</t>
  </si>
  <si>
    <t>52240001N01862</t>
  </si>
  <si>
    <t>پارگی سنسور یخساز</t>
  </si>
  <si>
    <t>1404/11/30</t>
  </si>
  <si>
    <t>210019017</t>
  </si>
  <si>
    <t>52240001N01244</t>
  </si>
  <si>
    <t>صدای غیرعادی درب — ایاب و ذهاب به عهده شرکت</t>
  </si>
  <si>
    <t>تعویض آرام بند</t>
  </si>
  <si>
    <t>C2S-29HS1 آرام بند فریزر ساید بای ساید</t>
  </si>
  <si>
    <t>210019021</t>
  </si>
  <si>
    <t>شکستگی قالب یخساز</t>
  </si>
  <si>
    <t>310007859</t>
  </si>
  <si>
    <t>52240004N00484</t>
  </si>
  <si>
    <t>خاموش و روشن شدن LED کاور / سقفی — ایاب و ذهاب به عهده شرکت</t>
  </si>
  <si>
    <t>خرابی کلید فشاری</t>
  </si>
  <si>
    <t>1404/11/01</t>
  </si>
  <si>
    <t>1405/04/01</t>
  </si>
  <si>
    <t>210019260</t>
  </si>
  <si>
    <t>52220005N04316</t>
  </si>
  <si>
    <t>1405/05/18</t>
  </si>
  <si>
    <t>210019667</t>
  </si>
  <si>
    <t>130009846</t>
  </si>
  <si>
    <t>52240003N00957</t>
  </si>
  <si>
    <t>1405/05/19</t>
  </si>
  <si>
    <t>1403/12/10</t>
  </si>
  <si>
    <t>1404/07/03</t>
  </si>
  <si>
    <t>210019486</t>
  </si>
  <si>
    <t>52210009N01216</t>
  </si>
  <si>
    <t>1404/07/09</t>
  </si>
  <si>
    <t>210019507</t>
  </si>
  <si>
    <t>CDW-H15VS1</t>
  </si>
  <si>
    <t>210140002N00048</t>
  </si>
  <si>
    <t>1402/10/10</t>
  </si>
  <si>
    <t>1402/12/17</t>
  </si>
  <si>
    <t>DW-HS-15 سبد پایین ماشین ظرفشویی</t>
  </si>
  <si>
    <t>210019531</t>
  </si>
  <si>
    <t>210120001N00133</t>
  </si>
  <si>
    <t>صدای غیرعادی درب — غیرگارانتی</t>
  </si>
  <si>
    <t>1403/03/23</t>
  </si>
  <si>
    <t>1403/09/05</t>
  </si>
  <si>
    <t>210019555</t>
  </si>
  <si>
    <t>52220004N01295</t>
  </si>
  <si>
    <t>1403/10/01</t>
  </si>
  <si>
    <t>210019559</t>
  </si>
  <si>
    <t>CM-RM5WH1</t>
  </si>
  <si>
    <t>52240009N00273</t>
  </si>
  <si>
    <t>1405/04/31</t>
  </si>
  <si>
    <t>310008128</t>
  </si>
  <si>
    <t>CWM-BMW9TW2</t>
  </si>
  <si>
    <t>52210015N00250</t>
  </si>
  <si>
    <t>کسری پک بسته بندی - کد داخلی قطعه در لیست اقدام درج می گردد. — ایاب و ذهاب به عهده شرکت</t>
  </si>
  <si>
    <t>1404/12/24</t>
  </si>
  <si>
    <t>810005501</t>
  </si>
  <si>
    <t>52220005N03894</t>
  </si>
  <si>
    <t>130009877</t>
  </si>
  <si>
    <t>52220004N00564</t>
  </si>
  <si>
    <t>1405/05/20</t>
  </si>
  <si>
    <t>1403/08/08</t>
  </si>
  <si>
    <t>1403/12/28</t>
  </si>
  <si>
    <t>130009921</t>
  </si>
  <si>
    <t>52240001N01120</t>
  </si>
  <si>
    <t>1404/04/17</t>
  </si>
  <si>
    <t>210019670</t>
  </si>
  <si>
    <t>52210009N01248</t>
  </si>
  <si>
    <t>310008150</t>
  </si>
  <si>
    <t>52220004N00129</t>
  </si>
  <si>
    <t>عدم شست و شوی کامل ظروف — ایاب و ذهاب به عهده مشتری</t>
  </si>
  <si>
    <t>1403/07/15</t>
  </si>
  <si>
    <t>1404/03/11</t>
  </si>
  <si>
    <t>810005539</t>
  </si>
  <si>
    <t>CDW-H13VS1</t>
  </si>
  <si>
    <t>52220001N01468</t>
  </si>
  <si>
    <t>810050</t>
  </si>
  <si>
    <t>52220005N00126</t>
  </si>
  <si>
    <t>ماشين لباسشويي</t>
  </si>
  <si>
    <t>CWM-BMW8VW1</t>
  </si>
  <si>
    <t>52210003N01073</t>
  </si>
  <si>
    <t>خطاي DE**اياب و ذهاب به عهده مشتري</t>
  </si>
  <si>
    <t>1405/06/15</t>
  </si>
  <si>
    <t>BMW-7/5V&amp;8V&amp;8T قفل درب ماشين لباسشويي</t>
  </si>
  <si>
    <t>CWM-BMW8T</t>
  </si>
  <si>
    <t>52210003N01146</t>
  </si>
  <si>
    <t>از کار افتادن محصول**اياب و ذهاب به عهده مشتري</t>
  </si>
  <si>
    <t>خرابي شيربرقي - لباسشویی</t>
  </si>
  <si>
    <t>1405/06/05</t>
  </si>
  <si>
    <t>1403/02/18</t>
  </si>
  <si>
    <t>1403/06/28</t>
  </si>
  <si>
    <t xml:space="preserve">                        BMW شيربرقي ماشين لباسشويي</t>
  </si>
  <si>
    <t>52220002N00573</t>
  </si>
  <si>
    <t>روي هم افتادن کشو**اياب و ذهاب به عهده شرکت</t>
  </si>
  <si>
    <t>شکستگی ریل سبد ظرفشویی</t>
  </si>
  <si>
    <t>1405/05/22</t>
  </si>
  <si>
    <t>1404/08/19</t>
  </si>
  <si>
    <t>DW-HS-13&amp;15 نگهدارنده جلو و عقب ريل سبد بالا ماشين</t>
  </si>
  <si>
    <t>52220003N00619</t>
  </si>
  <si>
    <t>خطاي F54**اياب و ذهاب به عهده مشتري</t>
  </si>
  <si>
    <t>نشتي از مقسم آب</t>
  </si>
  <si>
    <t>1405/06/02</t>
  </si>
  <si>
    <t>1403/05/02</t>
  </si>
  <si>
    <t>---</t>
  </si>
  <si>
    <t>52220002N00725</t>
  </si>
  <si>
    <t>خطاي F54 ** اياب و ذهاب به عهده مشتري</t>
  </si>
  <si>
    <t>1405/06/01</t>
  </si>
  <si>
    <t>1403/03/24</t>
  </si>
  <si>
    <t>52240001N00456</t>
  </si>
  <si>
    <t>شکستگي قطعات تزئيني درب- کد قطعه در ليست اقدامات درج مي گردد.</t>
  </si>
  <si>
    <t>شکستگي قطعات تزئيني پک قطعات داخلي - سايد باي سايد</t>
  </si>
  <si>
    <t>1405/06/11</t>
  </si>
  <si>
    <t>1403/03/31</t>
  </si>
  <si>
    <t xml:space="preserve">                 شلف يخچال سايد باي سايد C2S-29HS1</t>
  </si>
  <si>
    <t>52240001N00508</t>
  </si>
  <si>
    <t>بسته نشدن درب**پايين بودن فشار آب خروجي از آبسردکن**اياب و ذهاب به عهده مشتري</t>
  </si>
  <si>
    <t xml:space="preserve">رگلاژ درب </t>
  </si>
  <si>
    <t>1405/06/14</t>
  </si>
  <si>
    <t>52240001N00767</t>
  </si>
  <si>
    <t>چکه آبسردکن**مجدد**اياب و ذهاب به عهده شرکت</t>
  </si>
  <si>
    <t>اصلاح دمپر پلاستيکي پشت کابين - سايد باي سايد</t>
  </si>
  <si>
    <t>1405/06/19</t>
  </si>
  <si>
    <t>1403/04/11</t>
  </si>
  <si>
    <t>1404/07/05</t>
  </si>
  <si>
    <t xml:space="preserve">         دمپر پلاستيکي گرد سايد باي سايد C2S-29HS1</t>
  </si>
  <si>
    <t>ترک وان ** اياب و ذهاب به عهده مشتري</t>
  </si>
  <si>
    <t xml:space="preserve">ترک وان یخچال </t>
  </si>
  <si>
    <t>1405/05/30</t>
  </si>
  <si>
    <t xml:space="preserve">           کابين فوم خورده سايد باي سايد C2S-29HS1</t>
  </si>
  <si>
    <t>52240001N01098</t>
  </si>
  <si>
    <t>عدم کارکرد يخساز ** اياب و ذهاب به عهده مشتري</t>
  </si>
  <si>
    <t>خرابي موتور يخساز - سايد باي سايد</t>
  </si>
  <si>
    <t>1405/06/17</t>
  </si>
  <si>
    <t>1404/10/21</t>
  </si>
  <si>
    <t xml:space="preserve">                         C2S-29HS1 سنسور يخساز سايد باي سايد
    C2S-29HS1 موتور يخساز سايد باي سايد</t>
  </si>
  <si>
    <t>52240001N01115</t>
  </si>
  <si>
    <t>خروج يکسره آب از آبسردکن**اياب و ذهاب به عهده مشتري</t>
  </si>
  <si>
    <t>خرابي شيربرقي فريزر - سايد باي سايد</t>
  </si>
  <si>
    <t>1405/05/24</t>
  </si>
  <si>
    <t>1403/05/31</t>
  </si>
  <si>
    <t xml:space="preserve">C2S-29HS1 شيربرقي سايد باي سايد </t>
  </si>
  <si>
    <t>عدم تخليه يخ به صورت قالبي**اياب و ذهاب به عهده مشتري</t>
  </si>
  <si>
    <t>1405/06/03</t>
  </si>
  <si>
    <t xml:space="preserve">C2S-29HS1 دمپر کامل خروجي يخساز سايد باي سايد </t>
  </si>
  <si>
    <t>52220003N01180</t>
  </si>
  <si>
    <t xml:space="preserve">نشتی از اورینگ پمپ تخلیه </t>
  </si>
  <si>
    <t>1405/06/18</t>
  </si>
  <si>
    <t>1403/12/07</t>
  </si>
  <si>
    <t>52220004N00054</t>
  </si>
  <si>
    <t>عدم شست و شوي کامل ظروف**اياب و ذهاب به عهده مشتري</t>
  </si>
  <si>
    <t xml:space="preserve">اصلاح شیلنگ تخلیه </t>
  </si>
  <si>
    <t>1405/05/29</t>
  </si>
  <si>
    <t>1403/07/10</t>
  </si>
  <si>
    <t>1403/11/28</t>
  </si>
  <si>
    <t>52220004N00085</t>
  </si>
  <si>
    <t>جمع شدن آب زير محصول**بسته نشدن درب**اياب و ذهاب به عهده شرکت</t>
  </si>
  <si>
    <t>1405/05/31</t>
  </si>
  <si>
    <t>1403/07/11</t>
  </si>
  <si>
    <t>بسته نشدن درب**اياب و ذهاب به عهده شرکت</t>
  </si>
  <si>
    <t>52220004N00185</t>
  </si>
  <si>
    <t>بسته نشدن درب**اياب و ذهاب به عهده مشتري</t>
  </si>
  <si>
    <t>خرابی  قلاب میکروسوئیچ</t>
  </si>
  <si>
    <t>1405/05/26</t>
  </si>
  <si>
    <t>1403/07/16</t>
  </si>
  <si>
    <t>1403/11/13</t>
  </si>
  <si>
    <t>قلاب ميکروسوئيچ ماشين ظرفشويی     CDW-H13\CDW-H15\CDW-H16</t>
  </si>
  <si>
    <t>52220005N00253</t>
  </si>
  <si>
    <t>از کار افتادن محصول**اياب و ذهاب به عهده شرکت</t>
  </si>
  <si>
    <t>52240001N01462</t>
  </si>
  <si>
    <t>خرابي کمپرسور - از کارافتادن - سايد باي سايد</t>
  </si>
  <si>
    <t xml:space="preserve">LM60&amp;LM70-VFL110CY کمپرسور اينورتر دانپر فريزر </t>
  </si>
  <si>
    <t>52240001N01567</t>
  </si>
  <si>
    <t>تعريق کاور / سقف**عدم تخليه يخ به صورت قالبي**اياب و ذهاب به عهده شرکت</t>
  </si>
  <si>
    <t>1405/05/27</t>
  </si>
  <si>
    <t>1403/07/21</t>
  </si>
  <si>
    <t>1404/10/04</t>
  </si>
  <si>
    <t>عدم کارکرد يخساز ** اياب و ذهاب به عهده شرکت</t>
  </si>
  <si>
    <t xml:space="preserve">C2S-29HS1 درب فريزرمونتاژ شده  سايد باي سايد  </t>
  </si>
  <si>
    <t>52240001N01604</t>
  </si>
  <si>
    <t>جمع شدن آب زير محصول**اياب و ذهاب به عهده شرکت</t>
  </si>
  <si>
    <t>1405/06/08</t>
  </si>
  <si>
    <t>1404/12/27</t>
  </si>
  <si>
    <t xml:space="preserve">C2S-29HS1 شيربرقي سايد باي سايد  </t>
  </si>
  <si>
    <t>52220005N00474</t>
  </si>
  <si>
    <t>خرابي برد - عدم عملکرد کليدهاي ديسپلي</t>
  </si>
  <si>
    <t>1405/06/07</t>
  </si>
  <si>
    <t>1403/08/01</t>
  </si>
  <si>
    <t>1403/11/21</t>
  </si>
  <si>
    <t>DW-HS-16 برد ماشين ظرفشويي</t>
  </si>
  <si>
    <t>52240001N01710</t>
  </si>
  <si>
    <t>شکستگي قالب يخساز**اياب و ذهاب به عهده مشتري</t>
  </si>
  <si>
    <t xml:space="preserve">شکستگی کاور پشت یخساز </t>
  </si>
  <si>
    <t>1405/06/04</t>
  </si>
  <si>
    <t>1403/12/02</t>
  </si>
  <si>
    <t xml:space="preserve">            C2S-29HS1 کاور پشت يخساز سايد باي سايد</t>
  </si>
  <si>
    <t>52220005N00601</t>
  </si>
  <si>
    <t>1405/06/12</t>
  </si>
  <si>
    <t>52220005N00605</t>
  </si>
  <si>
    <t>بسته نشدن درب ** اياب و ذهاب به عهده شرکت</t>
  </si>
  <si>
    <t>52240001N01778</t>
  </si>
  <si>
    <t>تعويض فيلتر - غيرگارانتي</t>
  </si>
  <si>
    <t>1405/06/16</t>
  </si>
  <si>
    <t>52240001N01789</t>
  </si>
  <si>
    <t>صداي غيرعادي موتور فن کندانسور **اياب و ذهاب به عهده شرکت</t>
  </si>
  <si>
    <t>صداي غير عادي فن کندانسور - سايد باي سايد</t>
  </si>
  <si>
    <t xml:space="preserve">C2S-29HS1 موتور فن و پروانه کندانسور سايد باي سايد  </t>
  </si>
  <si>
    <t>CTV-50UHJS2</t>
  </si>
  <si>
    <t>52230002N01170</t>
  </si>
  <si>
    <t>از کار افتادن محصول ** اياب و ذهاب به عهده مشتري</t>
  </si>
  <si>
    <t>خرابي مين برد</t>
  </si>
  <si>
    <t>1403/08/24</t>
  </si>
  <si>
    <t>1403/10/08</t>
  </si>
  <si>
    <t xml:space="preserve">                             TV-HS-50 برد تلويزيون</t>
  </si>
  <si>
    <t>عدم کارکرد يخساز**مجدد**اياب و ذهاب به عهده شرکت</t>
  </si>
  <si>
    <t>1405/05/21</t>
  </si>
  <si>
    <t>52240001N01867</t>
  </si>
  <si>
    <t>عدم کارکرد يخساز**اياب و ذهاب به عهده شرکت</t>
  </si>
  <si>
    <t xml:space="preserve">                   
   C2S-29HS1 موتور يخساز سايد باي سايد</t>
  </si>
  <si>
    <t>52240001N01934</t>
  </si>
  <si>
    <t xml:space="preserve">
اصلاح دمپر پلاستيکي پشت کابين - سايد باي سايد</t>
  </si>
  <si>
    <t>1404/04/04</t>
  </si>
  <si>
    <t xml:space="preserve">C2S-29HS1 دمپر کامل خروجي يخساز سايد باي سايد 
</t>
  </si>
  <si>
    <t>52240001N02048</t>
  </si>
  <si>
    <t>موج درب ** اياب و ذهاب به عهده مشتري</t>
  </si>
  <si>
    <t>موج درب - سايد باي سايد</t>
  </si>
  <si>
    <t>1404/03/05</t>
  </si>
  <si>
    <t>C2S-29HS1 درب یخچال ساید بای ساید</t>
  </si>
  <si>
    <t>52220005N01022</t>
  </si>
  <si>
    <t>1405/05/25</t>
  </si>
  <si>
    <t>1403/10/20</t>
  </si>
  <si>
    <t>52240001N02125</t>
  </si>
  <si>
    <t>52220005N01169</t>
  </si>
  <si>
    <t>باز نشدن درب**اياب و ذهاب به عهده مشتري</t>
  </si>
  <si>
    <t>52240001N02132</t>
  </si>
  <si>
    <t>1403/09/21</t>
  </si>
  <si>
    <t xml:space="preserve">C2S-29HS1 دمپر کامل خروجي يخساز سايد باي سايد     </t>
  </si>
  <si>
    <t>52220005N01210</t>
  </si>
  <si>
    <t>1403/11/17</t>
  </si>
  <si>
    <t>52220004N01273</t>
  </si>
  <si>
    <t>1404/07/23</t>
  </si>
  <si>
    <t>52210003N01248</t>
  </si>
  <si>
    <t>عدم تخليه آب کثيف داخل درام ** اياب و ذهاب به عهده شرکت</t>
  </si>
  <si>
    <t>1403/10/07</t>
  </si>
  <si>
    <t>52210009N00098</t>
  </si>
  <si>
    <t>لرزش و حرکت محصول**اياب و ذهاب به عهده شرکت</t>
  </si>
  <si>
    <t>1403/10/15</t>
  </si>
  <si>
    <t>52210003N01476</t>
  </si>
  <si>
    <t>صداي غيرعادي هنگام خشک کن ** اياب و ذهاب به عهده مشتري</t>
  </si>
  <si>
    <t>تراز پايه تنظيم</t>
  </si>
  <si>
    <t>52240001N01372</t>
  </si>
  <si>
    <t>عدم کارکرد يخساز**</t>
  </si>
  <si>
    <t>1405/03/25</t>
  </si>
  <si>
    <t>52240004N00311</t>
  </si>
  <si>
    <t>خاموش و روشن شدن LED کاور / سقفي**اياب و ذهاب به عهده شرکت</t>
  </si>
  <si>
    <t>1403/11/25</t>
  </si>
  <si>
    <t>1405/04/16</t>
  </si>
  <si>
    <t xml:space="preserve">                             MINI کليد فشاري يخچال</t>
  </si>
  <si>
    <t>52210009N00194</t>
  </si>
  <si>
    <t>کمرنگ شدن ديسپلي - خرابي ديسپلي**اياب و ذهاب به عهده شرکت</t>
  </si>
  <si>
    <t xml:space="preserve">                 BMW-9T برد نمايشگر ماشين لباسشويي</t>
  </si>
  <si>
    <t>52240003N00836</t>
  </si>
  <si>
    <t>خاموش بودن LED کاور / سقفي ** اياب و ذهاب به عهده شرکت</t>
  </si>
  <si>
    <t>1403/12/03</t>
  </si>
  <si>
    <t>52240002N00847</t>
  </si>
  <si>
    <t>1405/04/15</t>
  </si>
  <si>
    <t>52240002N01029</t>
  </si>
  <si>
    <t>خاموش بودن LED کاور / سقفي**اياب و ذهاب به عهده شرکت</t>
  </si>
  <si>
    <t>1403/12/22</t>
  </si>
  <si>
    <t>52220002N01933</t>
  </si>
  <si>
    <t>1405/06/10</t>
  </si>
  <si>
    <t>52220004N02288</t>
  </si>
  <si>
    <t>خطاي F54 ** اياب و ذهاب به عهده شرکت</t>
  </si>
  <si>
    <t>52220004N02499</t>
  </si>
  <si>
    <t>نشتي اورينگ مخزن نمک</t>
  </si>
  <si>
    <t>52220001N01207</t>
  </si>
  <si>
    <t>خرابي برد - از کار افتادن</t>
  </si>
  <si>
    <t>1404/12/07</t>
  </si>
  <si>
    <t>DW-HS-13 برد ماشین ظرفشویی</t>
  </si>
  <si>
    <t>52210007N00659</t>
  </si>
  <si>
    <t xml:space="preserve"> ** زنگ زدگي درام ** اياب و ذهاب به عهده شرکت</t>
  </si>
  <si>
    <t>زنگ زدگي درام</t>
  </si>
  <si>
    <t>1405/06/09</t>
  </si>
  <si>
    <t>ورق بدنه دیگ استیل درون درام            (8V/8T/9T)
جلو بدنه دیگ استیل درون درام          (8V/8T/9T)
ورق عقب بدنه دیگ استیل درون درام   (8V/8T/9T)</t>
  </si>
  <si>
    <t>لرزش و حرکت محصول ** مجدد ** اياب و ذهاب به عهده شرکت</t>
  </si>
  <si>
    <t>خرابي کمک فنر</t>
  </si>
  <si>
    <t xml:space="preserve">     BMW-8V&amp;8T&amp;9T کمک فنر ماشین  لباسشویی </t>
  </si>
  <si>
    <t>52210010N00840</t>
  </si>
  <si>
    <t>نشتي از شيلنگ جاپودري</t>
  </si>
  <si>
    <t xml:space="preserve">BMW-7/5V&amp;8T&amp;9T لوله خرطومی خروجی از درام لباسشویی </t>
  </si>
  <si>
    <t>52220005N02783</t>
  </si>
  <si>
    <t>نشتي شيلنگ تخليه</t>
  </si>
  <si>
    <t xml:space="preserve">DW-HS شیلنگ تخلیه ماشین ظرفشویی </t>
  </si>
  <si>
    <t>52220005N02823</t>
  </si>
  <si>
    <t>52220005N02870</t>
  </si>
  <si>
    <t>نشتي از شيلنگ هيدروستات</t>
  </si>
  <si>
    <t>1404/03/28</t>
  </si>
  <si>
    <t>CWM-BMW8TI1</t>
  </si>
  <si>
    <t>52210006N01150</t>
  </si>
  <si>
    <t>صداي غيرعادي هنگام خشک کن**اياب و ذهاب به عهده مشتري</t>
  </si>
  <si>
    <t>1404/03/01</t>
  </si>
  <si>
    <t>1404/03/25</t>
  </si>
  <si>
    <t>52210007N00830</t>
  </si>
  <si>
    <t>صداي غيرعادي هنگام خشک کن**اياب و ذهاب به عهده شرکت</t>
  </si>
  <si>
    <t>صداي غيرعادي پمپ تخليه</t>
  </si>
  <si>
    <t>CTV-65QLJS3</t>
  </si>
  <si>
    <t>52230005N00188</t>
  </si>
  <si>
    <t xml:space="preserve">                             TV-HS-65QL      برد تلويزيون</t>
  </si>
  <si>
    <t>CTV-75QLJS3</t>
  </si>
  <si>
    <t>52230007N00049</t>
  </si>
  <si>
    <t>عدم عملکرد ريموت کنترل</t>
  </si>
  <si>
    <t xml:space="preserve">                             TV-HS-75QL      برد تلويزيون</t>
  </si>
  <si>
    <t>52210002N00295</t>
  </si>
  <si>
    <t>عدم عملکرد کليدهاي ديسپلي ** اياب و ذهاب به عهده مشتري</t>
  </si>
  <si>
    <t>1404/09/24</t>
  </si>
  <si>
    <t>BMW-7.5 برد نمایشگر ماشین لباسشویی</t>
  </si>
  <si>
    <t>52210002N00325</t>
  </si>
  <si>
    <t>BMW-7/5V&amp;8V&amp;8T قفل درب ماشین لباسشویی</t>
  </si>
  <si>
    <t>52210001N00427</t>
  </si>
  <si>
    <t>جمع شدن آب داخل محصول**اياب و ذهاب به عهده شرکت</t>
  </si>
  <si>
    <t>1404/03/14</t>
  </si>
  <si>
    <t>BMW  شیربرقی ماشین لباسشویی</t>
  </si>
  <si>
    <t>CWM-BMW8TW1</t>
  </si>
  <si>
    <t>52210005N01774</t>
  </si>
  <si>
    <t>نشتي از شيلنگ ورودي آب</t>
  </si>
  <si>
    <t>1404/03/18</t>
  </si>
  <si>
    <t>BMW شيلنگ ورودي آب ماشين لباسشويي</t>
  </si>
  <si>
    <t>52220003N02265</t>
  </si>
  <si>
    <t>خطاي F54**اياب و ذهاب به عهده شرکت</t>
  </si>
  <si>
    <t>نشتی از حوضچه مخزن نمک</t>
  </si>
  <si>
    <t>1404/03/08</t>
  </si>
  <si>
    <t>52210010N01160</t>
  </si>
  <si>
    <t>صداي غيرعادي هنگام خشک کن ** اياب و ذهاب به عهده مشتري ** مجدد</t>
  </si>
  <si>
    <t>1404/04/18</t>
  </si>
  <si>
    <t>پارگي نوار دور درب**اياب و ذهاب به عهده شرکت</t>
  </si>
  <si>
    <t>پارگي لاستيک</t>
  </si>
  <si>
    <t xml:space="preserve">نوار گسکت درب ماشين لباسشويي BMW 8T&amp;9T    </t>
  </si>
  <si>
    <t>52210010N01361</t>
  </si>
  <si>
    <t>52210006N01420</t>
  </si>
  <si>
    <t>1405/05/28</t>
  </si>
  <si>
    <t xml:space="preserve">              BMW-8T&amp;9T مجموعه درام ماشین لباسشویی </t>
  </si>
  <si>
    <t>52210007N01251</t>
  </si>
  <si>
    <t>1405/06/06</t>
  </si>
  <si>
    <t>1405/04/21</t>
  </si>
  <si>
    <t>CWM-BMW9TI1</t>
  </si>
  <si>
    <t>52210008N01212</t>
  </si>
  <si>
    <t>52210010N01554</t>
  </si>
  <si>
    <t>عدم شست و شوي کامل لباس**اياب و ذهاب به عهده شرکت</t>
  </si>
  <si>
    <t xml:space="preserve">اصلاح سوکت از روي برد </t>
  </si>
  <si>
    <t>1404/05/19</t>
  </si>
  <si>
    <t>52220005N03057</t>
  </si>
  <si>
    <t>خطای  F13**اياب و ذهاب به عهده مشتري</t>
  </si>
  <si>
    <t>خرابي هيدروستات</t>
  </si>
  <si>
    <t>1404/06/09</t>
  </si>
  <si>
    <t>DW-HS-16 هیدروستات ماشین ظرفشویی</t>
  </si>
  <si>
    <t>52220005N03371</t>
  </si>
  <si>
    <t>52210008N01427</t>
  </si>
  <si>
    <t>52220004N03689</t>
  </si>
  <si>
    <t>خطاي F12**اياب و ذهاب به عهده شرکت</t>
  </si>
  <si>
    <t xml:space="preserve">اصلاح شیلنگ  ورودی  آب </t>
  </si>
  <si>
    <t>52220003N02483</t>
  </si>
  <si>
    <t>52210009N02072</t>
  </si>
  <si>
    <t>1404/07/24</t>
  </si>
  <si>
    <t>52220005N04053</t>
  </si>
  <si>
    <t>کسري قطعات پک بسته بندي - کد قطعه در ليست اقدامات درج مي گردد. ** اياب و ذهاب به عهده شرکت</t>
  </si>
  <si>
    <t xml:space="preserve">کسری کارت گارانتی </t>
  </si>
  <si>
    <t>1404/07/29</t>
  </si>
  <si>
    <t xml:space="preserve">کارت گارانتی </t>
  </si>
  <si>
    <t>52220005N04139</t>
  </si>
  <si>
    <t>کسري جلوپايي**اياب و ذهاب به عهده شرکت</t>
  </si>
  <si>
    <t>کسري جلوپايي</t>
  </si>
  <si>
    <t>1405/06/13</t>
  </si>
  <si>
    <t xml:space="preserve"> DW-HS-15      جلوپایی سفید ماشین ظرفشویی</t>
  </si>
  <si>
    <t>52220004N04320</t>
  </si>
  <si>
    <t>عدم تخليه آب داخل ماشين ظرفشويي ** اياب و ذهاب به عهده شرکت</t>
  </si>
  <si>
    <t>52220002N02708</t>
  </si>
  <si>
    <t>52220004N04944</t>
  </si>
  <si>
    <t>52240003N01318</t>
  </si>
  <si>
    <t>52240003N01352</t>
  </si>
  <si>
    <t>1404/09/11</t>
  </si>
  <si>
    <t>52220004N05225</t>
  </si>
  <si>
    <t>52220004N05243</t>
  </si>
  <si>
    <t>1405/04/24</t>
  </si>
  <si>
    <t>52220003N02873</t>
  </si>
  <si>
    <t>1404/11/26</t>
  </si>
  <si>
    <t>52220005N05305</t>
  </si>
  <si>
    <t>1404/12/25</t>
  </si>
  <si>
    <t>52240004N00400</t>
  </si>
  <si>
    <t>52210011N00514</t>
  </si>
  <si>
    <t>کسري قطعات پک بسته بندي - کد قطعه در ليست اقدامات درج مي گردد.**اياب و ذهاب به عهده شرکت</t>
  </si>
  <si>
    <t>کسري پک بسته بندي</t>
  </si>
  <si>
    <t>1404/11/07</t>
  </si>
  <si>
    <t>CM-RS5GR1</t>
  </si>
  <si>
    <t>52240006N00362</t>
  </si>
  <si>
    <t>شکستگي قطعات تزئيني درب- کد قطعه در ليست اقدامات درج مي گردد. ** خاموش و روشن شدن LED آبسردکن ** اياب و ذهاب به عهده شرکت</t>
  </si>
  <si>
    <t>شکستگي قطعات تزئيني داخل درب - يخچال ميني</t>
  </si>
  <si>
    <t>1404/11/08</t>
  </si>
  <si>
    <t>MINI شلف کوچک یخچال</t>
  </si>
  <si>
    <t>CDW-K14BS1</t>
  </si>
  <si>
    <t>52220006N00231</t>
  </si>
  <si>
    <t>شکستگي جلوپايي**اياب و ذهاب به عهده شرکت</t>
  </si>
  <si>
    <t>شکستگي جلوپايي</t>
  </si>
  <si>
    <t>1404/11/27</t>
  </si>
  <si>
    <t>K-DW- جلوپایی سیلور ماشین ظرفشویی 14</t>
  </si>
  <si>
    <t>52210013N00088</t>
  </si>
  <si>
    <t>1404/12/01</t>
  </si>
  <si>
    <t>52210013N00027</t>
  </si>
  <si>
    <t>1404/11/29</t>
  </si>
  <si>
    <t>52210013N00239</t>
  </si>
  <si>
    <t>52210013N00223</t>
  </si>
  <si>
    <t>52220007N00292</t>
  </si>
  <si>
    <t>عدم شست و شوي کامل ظروف ** اياب و ذهاب به عهده شرکت</t>
  </si>
  <si>
    <t>1404/12/06</t>
  </si>
  <si>
    <t>52210015N00167</t>
  </si>
  <si>
    <t>1404/12/10</t>
  </si>
  <si>
    <t>52240006N00670</t>
  </si>
  <si>
    <t>خاموش بودن LED کاور / سقفي**شکستگي قطعات تزئيني کابين- کد قطعه در ليست اقدامات درج مي گردد.**اياب و ذهاب به عهده شرکت</t>
  </si>
  <si>
    <t>CWM-BMW9TI2</t>
  </si>
  <si>
    <t>52210016N00248</t>
  </si>
  <si>
    <t>کسري پک بسته بندي - کد داخلي قطعه در ليست اقدام درج مي گردد.**اياب و ذهاب به عهده شرکت</t>
  </si>
  <si>
    <t>52210016N00186</t>
  </si>
  <si>
    <t>52240006N00731</t>
  </si>
  <si>
    <t>رنگ پريدگي درب**اياب و ذهاب به عهده شرکت</t>
  </si>
  <si>
    <t xml:space="preserve">رنگ پریدگی درب </t>
  </si>
  <si>
    <t xml:space="preserve">تعویض محصول </t>
  </si>
  <si>
    <t>52210016N00345</t>
  </si>
  <si>
    <t>BMW-9T قفل درب ماشين لباسشويي</t>
  </si>
  <si>
    <t>52210015N00262</t>
  </si>
  <si>
    <t>52210016N00331</t>
  </si>
  <si>
    <t>پارگي نوار دور درب ** اياب و ذهاب به عهده شرکت</t>
  </si>
  <si>
    <t>52210016N00321</t>
  </si>
  <si>
    <t>CWM-BMW8TI3</t>
  </si>
  <si>
    <t>52210014N00302</t>
  </si>
  <si>
    <t xml:space="preserve">سفت کردن پیچ های بالانسور </t>
  </si>
  <si>
    <t>52210014N00455</t>
  </si>
  <si>
    <t>52240003N02110</t>
  </si>
  <si>
    <t>1405/03/13</t>
  </si>
  <si>
    <t>CM-RS5WH1</t>
  </si>
  <si>
    <t>52240010N00042</t>
  </si>
  <si>
    <t>خاموش و روشن شدن LED کاور / سقفي ** اياب و ذهاب به عهده شرکت</t>
  </si>
  <si>
    <t>1405/04/22</t>
  </si>
  <si>
    <t>CM-RM5ST1</t>
  </si>
  <si>
    <t>52240020N00054</t>
  </si>
  <si>
    <t>کسري قطعات تزئيني داخل درب - يخچال ميني</t>
  </si>
  <si>
    <t>1405/03/27</t>
  </si>
  <si>
    <t xml:space="preserve">                            MINI جا تخم مرغی </t>
  </si>
  <si>
    <t>52240009N00267</t>
  </si>
  <si>
    <t>گرم شدن محصول**اياب و ذهاب به عهده شرکت</t>
  </si>
  <si>
    <t xml:space="preserve">اصلاح سوکت کمپرسور </t>
  </si>
  <si>
    <t>52240009N00225</t>
  </si>
  <si>
    <t xml:space="preserve">تنظیم ترموستات </t>
  </si>
  <si>
    <t>کلیدواژه / عبارت</t>
  </si>
  <si>
    <t>اولویت</t>
  </si>
  <si>
    <t>برد نمایشگر</t>
  </si>
  <si>
    <t>خرابی - برد نمایش/مین برد (تعویض)</t>
  </si>
  <si>
    <t>مین برد</t>
  </si>
  <si>
    <t>مين برد</t>
  </si>
  <si>
    <t>برد</t>
  </si>
  <si>
    <t>خرابی - برد الکترونیک (تعویض)</t>
  </si>
  <si>
    <t>دیسپلی</t>
  </si>
  <si>
    <t>ديسپل</t>
  </si>
  <si>
    <t>ریموت</t>
  </si>
  <si>
    <t>ریموت کنترل (تعویض/تعمیر)</t>
  </si>
  <si>
    <t>ريموت</t>
  </si>
  <si>
    <t>LED</t>
  </si>
  <si>
    <t>خرابی - لامپ/LED داخلی (تعویض)</t>
  </si>
  <si>
    <t>ال ای دی</t>
  </si>
  <si>
    <t>ال اي دي</t>
  </si>
  <si>
    <t>زنگ زدگی</t>
  </si>
  <si>
    <t>زنگ‌زدگی بدنه/قطعه (تعویض)</t>
  </si>
  <si>
    <t>زنگ‌زدگی</t>
  </si>
  <si>
    <t>زنگ زد</t>
  </si>
  <si>
    <t>سبد</t>
  </si>
  <si>
    <t>سبد ظرفشویی - شکستگی (تعویض)</t>
  </si>
  <si>
    <t>خرابی - تاب برداشتن درام (تعویض)</t>
  </si>
  <si>
    <t>درام</t>
  </si>
  <si>
    <t>خرابی - سایر ایراد درام (تعویض)</t>
  </si>
  <si>
    <t>کمک فنر</t>
  </si>
  <si>
    <t>خرابی - کمک فنر (تعویض)</t>
  </si>
  <si>
    <t>کمک‌فنر</t>
  </si>
  <si>
    <t>موتور</t>
  </si>
  <si>
    <t>خرابی - موتور (تعویض)</t>
  </si>
  <si>
    <t>تسمه</t>
  </si>
  <si>
    <t>خرابی - تسمه (تعویض)</t>
  </si>
  <si>
    <t>بلبرینگ</t>
  </si>
  <si>
    <t>خرابی - بلبرینگ (تعویض)</t>
  </si>
  <si>
    <t>بلبرينگ</t>
  </si>
  <si>
    <t>هیدروستات</t>
  </si>
  <si>
    <t>خرابی - هیدروستات (تعویض)</t>
  </si>
  <si>
    <t>هيدروستات</t>
  </si>
  <si>
    <t>شیربرقی</t>
  </si>
  <si>
    <t>خرابی - شیربرقی (تعویض)</t>
  </si>
  <si>
    <t>شيربرقي</t>
  </si>
  <si>
    <t>واترجت</t>
  </si>
  <si>
    <t>خرابی - واترجت (تعویض)</t>
  </si>
  <si>
    <t>واتر جت</t>
  </si>
  <si>
    <t>ترموستات</t>
  </si>
  <si>
    <t>خرابی - ترموستات/سنسور دما (تعویض)</t>
  </si>
  <si>
    <t>سنسور دمای کابین</t>
  </si>
  <si>
    <t>سنسور دما</t>
  </si>
  <si>
    <t>کمپرسور</t>
  </si>
  <si>
    <t>خرابی - کمپرسور (تعویض)</t>
  </si>
  <si>
    <t>فن کندانسور</t>
  </si>
  <si>
    <t>فن کندانسور - خرابی/صدا (تعویض)</t>
  </si>
  <si>
    <t>موتور یخساز</t>
  </si>
  <si>
    <t>یخساز - خرابی موتور (تعویض)</t>
  </si>
  <si>
    <t>موتور يخساز</t>
  </si>
  <si>
    <t>سنسور یخساز</t>
  </si>
  <si>
    <t>یخساز - خرابی سنسور (تعویض)</t>
  </si>
  <si>
    <t>سنسور يخساز</t>
  </si>
  <si>
    <t>خرابی یخساز</t>
  </si>
  <si>
    <t>یخساز - خرابی موتور/سنسور/برد (تعویض)</t>
  </si>
  <si>
    <t>خرابي يخساز</t>
  </si>
  <si>
    <t>قالب یخساز</t>
  </si>
  <si>
    <t>یخساز - قالب/کاور (تعویض/بازبینی)</t>
  </si>
  <si>
    <t>قالب يخساز</t>
  </si>
  <si>
    <t>یخساز - کاور (تعویض)</t>
  </si>
  <si>
    <t>کاور پشت یخساز</t>
  </si>
  <si>
    <t>لاستیک</t>
  </si>
  <si>
    <t>لاستیک درزگیر - دفرمگی/پارگی (تعویض)</t>
  </si>
  <si>
    <t>لاستيک</t>
  </si>
  <si>
    <t>گسکت</t>
  </si>
  <si>
    <t>گسگت</t>
  </si>
  <si>
    <t>لولا</t>
  </si>
  <si>
    <t>مکانیزم درب - لولا (تعویض/تنظیم)</t>
  </si>
  <si>
    <t>زبانه</t>
  </si>
  <si>
    <t>مکانیزم درب - زبانه (تعویض)</t>
  </si>
  <si>
    <t>مکانیزم درب - مگنت (تعویض)</t>
  </si>
  <si>
    <t>میکروسوئیچ</t>
  </si>
  <si>
    <t>مکانیزم درب - میکروسوئیچ/قلاب (تعویض/تنظیم)</t>
  </si>
  <si>
    <t>ميکروسوئيچ</t>
  </si>
  <si>
    <t>قلاب میکروسوئیچ</t>
  </si>
  <si>
    <t>قلاب ميکروسوئيچ</t>
  </si>
  <si>
    <t>کلید فشاری</t>
  </si>
  <si>
    <t>کلید فشاری (تعویض/بازبینی)</t>
  </si>
  <si>
    <t>کليد فشاري</t>
  </si>
  <si>
    <t>وان/کابین - ترک (نیازمند تعویض/بررسی)</t>
  </si>
  <si>
    <t>ترک وان یخچال</t>
  </si>
  <si>
    <t>مکانیزم درب - دستگیره (تعویض)</t>
  </si>
  <si>
    <t>دستگیره</t>
  </si>
  <si>
    <t>فیتینگی</t>
  </si>
  <si>
    <t>نشتی - اتصال/فیتینگ (تعمیر/آب‌بندی)</t>
  </si>
  <si>
    <t>فیتینگ</t>
  </si>
  <si>
    <t>مخزن نمک</t>
  </si>
  <si>
    <t>نشتی - درب مخزن نمک (تعمیر/آب‌بندی)</t>
  </si>
  <si>
    <t>مقسم آب</t>
  </si>
  <si>
    <t>نشتی - مقسم آب (تعمیر/آب‌بندی)</t>
  </si>
  <si>
    <t>جاپودری</t>
  </si>
  <si>
    <t>نشتی - جاپودری (تعمیر/آب‌بندی)</t>
  </si>
  <si>
    <t>جاپودري</t>
  </si>
  <si>
    <t>جا قرصی</t>
  </si>
  <si>
    <t>نشتی - جاپودری/جا قرصی (تعمیر/آب‌بندی)</t>
  </si>
  <si>
    <t>براکت ریل</t>
  </si>
  <si>
    <t>نشتی - براکت ریل (تعمیر/آب‌بندی)</t>
  </si>
  <si>
    <t>براکت</t>
  </si>
  <si>
    <t>پمپ تخلیه</t>
  </si>
  <si>
    <t>خرابی - پمپ تخلیه (تعویض)</t>
  </si>
  <si>
    <t>پمپ تخليه</t>
  </si>
  <si>
    <t>شیلنگ</t>
  </si>
  <si>
    <t>شیلنگ - برخورد/لهیدگی (بازبینی)</t>
  </si>
  <si>
    <t>شيلنگ</t>
  </si>
  <si>
    <t>پرچ</t>
  </si>
  <si>
    <t>پرچ/بدنه کابین (تعمیر)</t>
  </si>
  <si>
    <t>ضربه</t>
  </si>
  <si>
    <t>بدنه/کابین - ضربه (بازبینی/تعویض پنل)</t>
  </si>
  <si>
    <t>رنگ پریدگی</t>
  </si>
  <si>
    <t>بدنه/درب - ایراد ظاهری (بازبینی)</t>
  </si>
  <si>
    <t>رنگ‌پریدگی</t>
  </si>
  <si>
    <t>فاصله درب</t>
  </si>
  <si>
    <t>سایر اجزای درب (بازبینی)</t>
  </si>
  <si>
    <t>موج درب</t>
  </si>
  <si>
    <t>درب</t>
  </si>
  <si>
    <t>نشتی گاز</t>
  </si>
  <si>
    <t>نشتی گاز - نیازمند بررسی</t>
  </si>
  <si>
    <t>نشتی</t>
  </si>
  <si>
    <t>نشتی آب - محل نامشخص (نیازمند بازدید)</t>
  </si>
  <si>
    <t>آبریزش</t>
  </si>
  <si>
    <t>آبريزش</t>
  </si>
  <si>
    <t>سیم‌کشی/اتصالات (تعویض/بازبینی)</t>
  </si>
  <si>
    <t>قطعی سیم</t>
  </si>
  <si>
    <t>کسری قطعات تزئینی</t>
  </si>
  <si>
    <t>قطعات تزئینی - شکستگی/کسری (تعویض)</t>
  </si>
  <si>
    <t>کسري قطعات تزئيني</t>
  </si>
  <si>
    <t>قطعات تزئینی</t>
  </si>
  <si>
    <t>قطعات تزئيني</t>
  </si>
  <si>
    <t>کسری جلوپایی</t>
  </si>
  <si>
    <t>جلوپایی/پایه (کسری/شکستگی)</t>
  </si>
  <si>
    <t>شکستگی جلوپایی</t>
  </si>
  <si>
    <t>کسری اقلام بسته‌بندی</t>
  </si>
  <si>
    <t>کسری پک بسته‌بندی</t>
  </si>
  <si>
    <t>کسري پک بسته‌بندي</t>
  </si>
  <si>
    <t>کسری کارت گارانتی</t>
  </si>
  <si>
    <t>کسری مدارک/کارت گارانتی</t>
  </si>
  <si>
    <t>درحال پیگیری</t>
  </si>
  <si>
    <t>درحال پیگیری/نیازمند تعیین علت</t>
  </si>
  <si>
    <t>در حال پیگیری</t>
  </si>
  <si>
    <t>تعویض فیلتر</t>
  </si>
  <si>
    <t>غیرگارانتی/بدون قطعه</t>
  </si>
  <si>
    <t>فیلتر</t>
  </si>
  <si>
    <t>فيلتر</t>
  </si>
  <si>
    <t>بدون مورد</t>
  </si>
  <si>
    <t>غير گارانتي</t>
  </si>
  <si>
    <t>غیرگارانتی</t>
  </si>
  <si>
    <t>بدون اجرت</t>
  </si>
  <si>
    <t>ریست</t>
  </si>
  <si>
    <t>ریست نرم‌افزاری (بدون قطعه)</t>
  </si>
  <si>
    <t>ريست</t>
  </si>
  <si>
    <t>تعویض محصول</t>
  </si>
  <si>
    <t>تعویض کامل دستگاه (Replacement)</t>
  </si>
  <si>
    <t>تعویض دستگاه</t>
  </si>
  <si>
    <t>تعويض محصول</t>
  </si>
  <si>
    <t>تعويض دستگاه</t>
  </si>
  <si>
    <t>تنظیم دیسپلی</t>
  </si>
  <si>
    <t>تنظیم - تنظیمات دستگاه/دیسپلی (تعمیر)</t>
  </si>
  <si>
    <t>تنظيم ديسپل</t>
  </si>
  <si>
    <t>تنظیم صفحه نمایش</t>
  </si>
  <si>
    <t>تنظيم صفحه نمايش</t>
  </si>
  <si>
    <t>تنظیم تایم آبگیری یخساز</t>
  </si>
  <si>
    <t>یخساز - تنظیم/عایق (تعمیر)</t>
  </si>
  <si>
    <t>تنظيم تايم آبگيري يخساز</t>
  </si>
  <si>
    <t>عایق کاری ورودی یخساز</t>
  </si>
  <si>
    <t>اصلاح دمپر</t>
  </si>
  <si>
    <t>سفت کردن پیچ</t>
  </si>
  <si>
    <t>بالانسور/اتصالات - تنظیم</t>
  </si>
  <si>
    <t>تراز/لرزش - نصب (رگلاژ پایه)</t>
  </si>
  <si>
    <t>رگلاژ درب</t>
  </si>
  <si>
    <t>مکانیزم درب - لولا (تنظیم)</t>
  </si>
  <si>
    <t>لولا تنظیم</t>
  </si>
  <si>
    <t>تنظیم لولا</t>
  </si>
  <si>
    <t>گریسکاری درب</t>
  </si>
  <si>
    <t>مکانیزم درب - گریسکاری/تنظیم</t>
  </si>
  <si>
    <t>گریس‌کاری درب</t>
  </si>
  <si>
    <t>مکانیزم درب - مهره/اتصال (تنظیم)</t>
  </si>
  <si>
    <t>عدم قرار گیری مهره درب</t>
  </si>
  <si>
    <t>عدم قرارگیری قالب یخساز</t>
  </si>
  <si>
    <t>یخساز - قالب/مکانیزم (تنظیم)</t>
  </si>
  <si>
    <t>عدم قرار گیری قالب یخساز</t>
  </si>
  <si>
    <t>سیم‌کشی/اتصالات (تعمیر/تنظیم)</t>
  </si>
  <si>
    <t>تنظیم سوکت</t>
  </si>
  <si>
    <t>متصل نبودن سوکت</t>
  </si>
  <si>
    <t>اصلاح سیم</t>
  </si>
  <si>
    <t>تنظیم ترموستات (تعمیر/تنظیم)</t>
  </si>
  <si>
    <t>پمپ تخلیه - گرفتگی/بازبینی</t>
  </si>
  <si>
    <t>گرفتگی پمپ تخليه</t>
  </si>
  <si>
    <t>نشتی - پمپ تخلیه (تعمیر/آب‌بندی)</t>
  </si>
  <si>
    <t>نشتی پمپ تخليه</t>
  </si>
  <si>
    <t>نشتی اورینگ پمپ تخليه</t>
  </si>
  <si>
    <t>نشتی از شیلنگ</t>
  </si>
  <si>
    <t>نشتی - شیلنگ (تعمیر/آب‌بندی)</t>
  </si>
  <si>
    <t>نشتی شیلنگ</t>
  </si>
  <si>
    <t>نشتي از شيلنگ</t>
  </si>
  <si>
    <t>نشتي شيلنگ</t>
  </si>
  <si>
    <t>حوضچه مخزن نمک - ترک/شکستگی (تعویض/بررسی)</t>
  </si>
  <si>
    <t>شکستگی حوضچه مخزن نمک</t>
  </si>
  <si>
    <t>رنگ پریدگی درب</t>
  </si>
  <si>
    <t>زنگ‌زدگی درام</t>
  </si>
  <si>
    <t>زنگ زدگی سبد</t>
  </si>
  <si>
    <t>زنگ‌زدگی سبد</t>
  </si>
  <si>
    <t>نشتی از مخزن نمک</t>
  </si>
  <si>
    <t>نشتی از براکت</t>
  </si>
  <si>
    <t>نشتي از براکت</t>
  </si>
  <si>
    <t>نشتی از فیتینگی</t>
  </si>
  <si>
    <t>نشتی از فیتینگ</t>
  </si>
  <si>
    <t>نشتی از لاستیک</t>
  </si>
  <si>
    <t>نشتی از گسکت</t>
  </si>
  <si>
    <t>برد نمایش تلویزیون (تعویض)</t>
  </si>
  <si>
    <t>صداي غير عادي فن کندانسور</t>
  </si>
  <si>
    <t>صدای غیرعادی فن کندانسور</t>
  </si>
  <si>
    <t>آرام‌بند درب (تعویض)</t>
  </si>
  <si>
    <t>عایق کاری</t>
  </si>
  <si>
    <t>عایق‌کاری/اصلاح (تعمیر)</t>
  </si>
  <si>
    <t>عایق‌کاری</t>
  </si>
  <si>
    <t>اصلاح سوکت کمپرسور</t>
  </si>
  <si>
    <t xml:space="preserve">شهریور </t>
  </si>
  <si>
    <t>1405-06</t>
  </si>
  <si>
    <t>52240005N00190</t>
  </si>
  <si>
    <t>52210010N00949</t>
  </si>
  <si>
    <t>52240001N01582</t>
  </si>
  <si>
    <t>52210005N01170</t>
  </si>
  <si>
    <t>52220005N04575</t>
  </si>
  <si>
    <t>52220005N01304</t>
  </si>
  <si>
    <t>52220002N02686</t>
  </si>
  <si>
    <t>210100006N00081</t>
  </si>
  <si>
    <t>52210010N01787</t>
  </si>
  <si>
    <t>52240001N02020</t>
  </si>
  <si>
    <t>52220004N01021</t>
  </si>
  <si>
    <t>52210010N01044</t>
  </si>
  <si>
    <t>52210010N01215</t>
  </si>
  <si>
    <t>52240001N01029</t>
  </si>
  <si>
    <t>52220002N01463</t>
  </si>
  <si>
    <t>52210004N01390</t>
  </si>
  <si>
    <t>52220005N04490</t>
  </si>
  <si>
    <t>52240003N01015</t>
  </si>
  <si>
    <t>MINI-R</t>
  </si>
  <si>
    <t>CWM-BMW8V</t>
  </si>
  <si>
    <t xml:space="preserve">ريزش آب از درب**غیر گارانتی </t>
  </si>
  <si>
    <t>صداي غيرعادي کمپرسور**اياب و ذهاب به عهده شرکت</t>
  </si>
  <si>
    <t>لرزش و حرکت محصول**صداي غيرعادي هنگام خشک کن**اياب و ذهاب به عهده مشتري</t>
  </si>
  <si>
    <t>خطاي F54</t>
  </si>
  <si>
    <t>لرزش و حرکت محصول ** اياب و ذهاب به عهده مشتري</t>
  </si>
  <si>
    <t>تعويض فيلتر - غيرگارانتي ** عدم خروج آب از آبسردکن ** اياب و ذهاب به عهده مشتري</t>
  </si>
  <si>
    <t>عدم عملکرد کليدهاي ديسپلي ** اياب و ذهاب به عهده شرکت</t>
  </si>
  <si>
    <t>رنگ پريدگي درب ** اياب و ذهاب به عهده مشتري</t>
  </si>
  <si>
    <t xml:space="preserve">جمع شدن آب زير محصول **غیر گارانتی </t>
  </si>
  <si>
    <t xml:space="preserve">کمرنگ شدن ديسپلي - خرابي ديسپلي </t>
  </si>
  <si>
    <t>جمع شدن آب داخل محصول**اياب و ذهاب به عهده مشتري</t>
  </si>
  <si>
    <t>خطاي F11**اياب و ذهاب به عهده شرکت</t>
  </si>
  <si>
    <t>خاموش و روشن شدن LED کاور / سقفي ** اياب و ذهاب به عهده مشتري</t>
  </si>
  <si>
    <t>پارگي نوار گسکت</t>
  </si>
  <si>
    <t>خرابی میکروسوئیچ درب - ظرفشویی</t>
  </si>
  <si>
    <t xml:space="preserve">تعویض فیلتر - غیر گارانتی </t>
  </si>
  <si>
    <t>خرابي برد نمایشگر</t>
  </si>
  <si>
    <t xml:space="preserve">خرابي موتور يخساز </t>
  </si>
  <si>
    <t>اصلاح دمپر پلاستيکي</t>
  </si>
  <si>
    <t xml:space="preserve">زنگ زدگی  استیل درب </t>
  </si>
  <si>
    <t>خرابي ديسپلي</t>
  </si>
  <si>
    <t>خرابي شيربرقي</t>
  </si>
  <si>
    <t>1405/06/29</t>
  </si>
  <si>
    <t>1405/06/23</t>
  </si>
  <si>
    <t>1405/06/30</t>
  </si>
  <si>
    <t>1405/06/28</t>
  </si>
  <si>
    <t>1405/06/31</t>
  </si>
  <si>
    <t>1405/06/21</t>
  </si>
  <si>
    <t>1405/06/22</t>
  </si>
  <si>
    <t>1405/06/25</t>
  </si>
  <si>
    <t>1405/06/24</t>
  </si>
  <si>
    <t>1404/07/16</t>
  </si>
  <si>
    <t>1403/09/18</t>
  </si>
  <si>
    <t>1404/05/23</t>
  </si>
  <si>
    <t>1403/09/14</t>
  </si>
  <si>
    <t>1404/10/29</t>
  </si>
  <si>
    <t>1404/09/10</t>
  </si>
  <si>
    <t>1404/10/07</t>
  </si>
  <si>
    <t>1404/06/23</t>
  </si>
  <si>
    <t>1404/01/24</t>
  </si>
  <si>
    <t>DW-HS-16 ميکروسوئيچ درب ماشين ظرفشويي</t>
  </si>
  <si>
    <t xml:space="preserve">   ورق عقب بدنه ديگ استيل درون درام8V/8T/9T) 
           جلو بدنه ديگ استيل درون درام (8V/8T/9T)
           ورق بدنه ديگ استيل درون درام (8V/8T/9T)</t>
  </si>
  <si>
    <t>BMW-8T2 برد نمایشگر ماشین لباسشویی</t>
  </si>
  <si>
    <t xml:space="preserve">کاور استيل داخل بدنه ظرفشويي (13&amp;15&amp;16)   </t>
  </si>
  <si>
    <t xml:space="preserve">               نمايشگر  سايد باي سايد  C2S-29HS1</t>
  </si>
  <si>
    <t>يخچال ميني</t>
  </si>
  <si>
    <t>يخچال فريزر سايدباي سايد</t>
  </si>
  <si>
    <t>ماشين ظرفشويي</t>
  </si>
  <si>
    <t xml:space="preserve">پایین بودن قلاب میکروسوئیچ </t>
  </si>
  <si>
    <t>1404/10/09</t>
  </si>
  <si>
    <t>یک سریال دو تاریخ پذیرش</t>
  </si>
  <si>
    <t xml:space="preserve">اصلاح قلاب میکروسوئیچ </t>
  </si>
  <si>
    <t xml:space="preserve">خرابي زبانه </t>
  </si>
  <si>
    <t>گریس 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</si>
</sst>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1A1A1A"/>
      <name val="B Nazanin"/>
      <charset val="178"/>
    </font>
    <font>
      <b/>
      <sz val="16"/>
      <color rgb="FFFFFFFF"/>
      <name val="B Nazanin"/>
      <charset val="178"/>
    </font>
    <font>
      <sz val="16"/>
      <color theme="1"/>
      <name val="Calibri"/>
      <family val="2"/>
      <scheme val="minor"/>
    </font>
    <font>
      <b/>
      <sz val="12"/>
      <color rgb="FFFFFFFF"/>
      <name val="B Nazanin"/>
      <charset val="178"/>
    </font>
    <font>
      <sz val="12"/>
      <name val="B Nazanin"/>
      <charset val="178"/>
    </font>
    <font>
      <sz val="11"/>
      <name val="Calibri"/>
      <family val="2"/>
      <scheme val="minor"/>
    </font>
    <font>
      <b/>
      <sz val="9"/>
      <color rgb="FFFFFFFF"/>
      <name val="B Nazanin"/>
      <charset val="178"/>
    </font>
    <font>
      <sz val="9"/>
      <color rgb="FF1A1A1A"/>
      <name val="B Nazanin"/>
      <charset val="178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E6E1DA"/>
      </left>
      <right style="thin">
        <color rgb="FFE6E1DA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5" fillId="0" borderId="0" xfId="0" applyNumberFormat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3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wrapText="1"/>
    </xf>
    <xf numFmtId="0" fontId="8" fillId="0" borderId="0" xfId="0" applyFont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 val="none"/>
        <vertAlign val="baseline"/>
        <sz val="16"/>
        <color rgb="FFFFFFFF"/>
        <name val="B Nazanin"/>
        <charset val="178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  <border outline="0">
        <left style="thin">
          <color rgb="FFE6E1DA"/>
        </left>
        <right style="thin">
          <color rgb="FFE6E1DA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440" totalsRowShown="0" headerRowDxfId="2" dataDxfId="18">
  <autoFilter ref="A1:P440" xr:uid="{00000000-0009-0000-0100-000001000000}"/>
  <sortState xmlns:xlrd2="http://schemas.microsoft.com/office/spreadsheetml/2017/richdata2" ref="A2:P440">
    <sortCondition descending="1" ref="F1:F440"/>
  </sortState>
  <tableColumns count="16">
    <tableColumn id="1" xr3:uid="{00000000-0010-0000-0000-000001000000}" name="شماره پذیرش" dataDxfId="17"/>
    <tableColumn id="2" xr3:uid="{00000000-0010-0000-0000-000002000000}" name="ماه" dataDxfId="16"/>
    <tableColumn id="3" xr3:uid="{00000000-0010-0000-0000-000003000000}" name="کد ماه" dataDxfId="15"/>
    <tableColumn id="4" xr3:uid="{00000000-0010-0000-0000-000004000000}" name="نوع محصول" dataDxfId="14"/>
    <tableColumn id="5" xr3:uid="{00000000-0010-0000-0000-000005000000}" name="مدل" dataDxfId="13"/>
    <tableColumn id="6" xr3:uid="{00000000-0010-0000-0000-000006000000}" name="شماره سریال" dataDxfId="12"/>
    <tableColumn id="7" xr3:uid="{00000000-0010-0000-0000-000007000000}" name="اظهار مشتری" dataDxfId="11"/>
    <tableColumn id="8" xr3:uid="{00000000-0010-0000-0000-000008000000}" name="شرح خرابی" dataDxfId="10"/>
    <tableColumn id="9" xr3:uid="{00000000-0010-0000-0000-000009000000}" name="تاریخ پذیرش" dataDxfId="9"/>
    <tableColumn id="10" xr3:uid="{00000000-0010-0000-0000-00000A000000}" name="تاریخ تولید" dataDxfId="8"/>
    <tableColumn id="11" xr3:uid="{00000000-0010-0000-0000-00000B000000}" name="تاریخ نصب" dataDxfId="7"/>
    <tableColumn id="12" xr3:uid="{00000000-0010-0000-0000-00000C000000}" name="مدت مصرف (ماه)" dataDxfId="6"/>
    <tableColumn id="13" xr3:uid="{00000000-0010-0000-0000-00000D000000}" name="دسته علت خرابی" dataDxfId="5">
      <calculatedColumnFormula>IF(OR(ISNUMBER(SEARCH("بدون مورد",H2)),ISNUMBER(SEARCH("غير گارانتي",H2)),ISNUMBER(SEARCH("غیر گارانتی",H2)),ISNUMBER(SEARCH("بدون اجرت",H2)),ISNUMBER(SEARCH("فيلتر",H2)),ISNUMBER(SEARCH("فیلتر",H2))),"غیرگارانتی/بدون قطعه",IF(OR(ISNUMBER(SEARCH("ريست",H2)),ISNUMBER(SEARCH("ریست",H2))),"ریست نرم‌افزاری (بدون قطعه)",IF(OR(ISNUMBER(SEARCH("تعویض محصول",H2)),ISNUMBER(SEARCH("تعویض دستگاه",H2))),"تعویض کامل دستگاه (Replacement)",IF(ISNUMBER(SEARCH("پمپ",H2)),IF(ISNUMBER(SEARCH("نشت",H2)),"نشتی - پمپ تخلیه (تعمیر/آب‌بندی)","خرابی - پمپ تخلیه (تعویض)"),IF(ISNUMBER(SEARCH("کمپرسور",H2)),"خرابی - کمپرسور (تعویض)",IF(ISNUMBER(SEARCH("کمک فنر",H2)),"خرابی - کمک فنر (تعویض)",IF(ISNUMBER(SEARCH("لولا",H2)),"مکانیزم درب - لولا (تعویض)",IF(OR(ISNUMBER(SEARCH("قلاب",H2)),ISNUMBER(SEARCH("ميکروسوئيچ",H2)),ISNUMBER(SEARCH("میکروسوئیچ",H2))),"مکانیزم درب - میکروسوئیچ/قلاب (تعویض/تنظیم)",IF(ISNUMBER(SEARCH("زبانه",H2)),"مکانیزم درب - زبانه (تعویض)",IF(OR(ISNUMBER(SEARCH("شيلنگ",H2)),ISNUMBER(SEARCH("شیلنگ",H2))),IF(OR(ISNUMBER(SEARCH("نشتی",H2)),ISNUMBER(SEARCH("نشتي",H2))),"نشتی - شیلنگ (تعمیر/آب‌بندی)",IF(OR(ISNUMBER(SEARCH("يخ",H2)),ISNUMBER(SEARCH("یخ",H2))),"شیلنگ یخساز - یخ‌زدگی (بازبینی)","شیلنگ - برخورد/لهیدگی (بازبینی)")),IF(OR(ISNUMBER(SEARCH("تنظيم ديسپل",H2)),ISNUMBER(SEARCH("تنظیم دیسپل",H2)),ISNUMBER(SEARCH("تنظيم صفحه نمايش",H2)),ISNUMBER(SEARCH("تنظیم صفحه نمایش",H2))),"تنظیم - تنظیمات دستگاه/دیسپلی (تعمیر)",IF(OR(ISNUMBER(SEARCH("برد",H2)),ISNUMBER(SEARCH("سوکت",H2)),ISNUMBER(SEARCH("ديسپل",H2)),ISNUMBER(SEARCH("دیسپل",H2))),"خرابی - برد الکترونیک (تعویض)",IF(OR(ISNUMBER(SEARCH("يخساز",H2)),ISNUMBER(SEARCH("یخساز",H2)),ISNUMBER(SEARCH("دمپر",H2))),IF(OR(ISNUMBER(SEARCH("خرابی",H2)),ISNUMBER(SEARCH("خراب",H2)),ISNUMBER(SEARCH("عدم کارکرد",H2)),ISNUMBER(SEARCH("عدم عملکرد",H2))),"یخساز - خرابی موتور/سنسور/برد (تعویض)","یخساز - تنظیم/عایق (تعمیر)"),IF(OR(ISNUMBER(SEARCH("لاستيک",H2)),ISNUMBER(SEARCH("لاستیک",H2))),"لاستیک درزگیر - دفرمگی/پارگی (تعویض)",IF(OR(ISNUMBER(SEARCH("گسکت",H2)),ISNUMBER(SEARCH("گسگت",H2))),"لاستیک درزگیر - دفرمگی/پارگی (تعویض)",IF(ISNUMBER(SEARCH("مخزن نمک",H2)),"نشتی - درب مخزن نمک (تعمیر/آب‌بندی)",IF(ISNUMBER(SEARCH("براکت",H2)),"نشتی - براکت ریل (تعمیر/آب‌بندی)",IF(ISNUMBER(SEARCH("جاپودر",H2)),"نشتی - جاپودری (تعمیر/آب‌بندی)",IF(ISNUMBER(SEARCH("مقسم",H2)),"نشتی - مقسم آب (تعمیر/آب‌بندی)",IF(OR(ISNUMBER(SEARCH("سنسور دما",H2)),ISNUMBER(SEARCH("ترموستات",H2))),"خرابی - ترموستات (تعویض)",IF(OR(ISNUMBER(SEARCH("هيدروستات",H2)),ISNUMBER(SEARCH("هیدروستات",H2))),"خرابی - هیدروستات (تعویض)",IF(OR(ISNUMBER(SEARCH("بلبرينگ",H2)),ISNUMBER(SEARCH("بلبرینگ",H2))),"خرابی - بلبرینگ (تعویض)",IF(OR(ISNUMBER(SEARCH("شيربرق",H2)),ISNUMBER(SEARCH("شیربرق",H2))),"خرابی - شیربرقی (تعویض)",IF(OR(ISNUMBER(SEARCH("واتر جت",H2)),ISNUMBER(SEARCH("واترجت",H2))),"خرابی - واترجت (تعویض)",IF(OR(ISNUMBER(SEARCH("سيم",H2)),ISNUMBER(SEARCH("سیم",H2)),ISNUMBER(SEARCH("اتصال",H2))),"سیم‌کشی/اتصالات (تعویض/بازبینی)",IF(OR(ISNUMBER(SEARCH("تصوير",H2)),ISNUMBER(SEARCH("تصویر",H2))),"برد نمایش تلویزیون (تعویض)",IF(OR(ISNUMBER(SEARCH("ريموت",H2)),ISNUMBER(SEARCH("ریموت",H2))),"ریموت کنترل (تعویض/تعمیر)",IF(OR(ISNUMBER(SEARCH("ال اي دي",H2)),ISNUMBER(SEARCH("ال ای دی",H2)),ISNUMBER(SEARCH("LED",H2))),"خرابی - لامپ/LED داخلی (تعویض)",IF(ISNUMBER(SEARCH("زنگ زدگ",H2)),"زنگ‌زدگی بدنه/قطعه (تعویض)",IF(OR(ISNUMBER(SEARCH("قطعات تزئين",H2)),ISNUMBER(SEARCH("قطعات تزئین",H2))),"قطعات تزئینی - شکستگی/کسری (تعویض)",IF(ISNUMBER(SEARCH("سبد",H2)),"سبد ظرفشویی - شکستگی (تعویض)",IF(ISNUMBER(SEARCH("تاب درام",H2)),"خرابی - تاب برداشتن درام (تعویض)",IF(ISNUMBER(SEARCH("درام",H2)),"خرابی - سایر ایراد درام (تعویض)",IF(ISNUMBER(SEARCH("موتور",H2)),"خرابی - موتور (تعویض)",IF(ISNUMBER(SEARCH("تسمه",H2)),"خرابی - تسمه (تعویض)",IF(OR(ISNUMBER(SEARCH("پيچ ولوم",H2)),ISNUMBER(SEARCH("پیچ ولوم",H2))),"تنظیم - پیچ ولوم/دکمه (تعمیر)",IF(OR(ISNUMBER(SEARCH("کسري قطعات",H2)),ISNUMBER(SEARCH("کسری قطعات",H2))),"کسری قطعات تزئینی (تعویض)",IF(ISNUMBER(SEARCH("پرچ",H2)),"پرچ/بدنه کابین(تعمیر)",IF(OR(ISNUMBER(SEARCH("نشت",H2)),ISNUMBER(SEARCH("آبريزش",H2)),ISNUMBER(SEARCH("آبریزش",H2))),"نشتی آب - محل نامشخص (نیازمند بازدید)",IF(ISNUMBER(SEARCH("درب",H2)),"سایر اجزای درب (بازبینی)",IF(ISNUMBER(SEARCH("ضربه",H2)),"بدنه/کابین - ضربه (بازبینی/تعویض پنل)",IF(ISNUMBER(SEARCH("تراز",H2)),"تراز/لرزش - نصب (رگلاژ پایه)",IF(OR(ISNUMBER(SEARCH("تعویض",H2)),ISNUMBER(SEARCH("تعويض",H2))),"تعویض کامل دستگاه (Replacement)","سایر (نیازمند بررسی دستی)")))))))))))))))))))))))))))))))))))))))))))</calculatedColumnFormula>
    </tableColumn>
    <tableColumn id="14" xr3:uid="{00000000-0010-0000-0000-00000E000000}" name="قطعه تعویضی" dataDxfId="4"/>
    <tableColumn id="19" xr3:uid="{00000000-0010-0000-0000-000013000000}" name="مراجعه تکراری" dataDxfId="3">
      <calculatedColumnFormula array="1">IF(A2="","",IF(SUMPRODUCT(($B$2:$B$965=B2)*($C$2:$C$965=C2)*($D$2:$D$965=D2)*($E$2:$E$965=E2)*($F$2:$F$965=F2)*($G$2:$G$965=G2)*($H$2:$H$965=H2)*($I$2:$I$965=I2)*($J$2:$J$965=J2)*($K$2:$K$965=K2)*($N$2:$N$965=N2))=1,"خیر",IF(SUMPRODUCT(($B$2:B2=B2)*($C$2:C2=C2)*($D$2:D2=D2)*($E$2:E2=E2)*($F$2:F2=F2)*($G$2:G2=G2)*($H$2:H2=H2)*($I$2:I2=I2)*($J$2:J2=J2)*($K$2:K2=K2)*($N$2:N2=N2))=1,"بله-1","بله")))</calculatedColumnFormula>
    </tableColumn>
    <tableColumn id="15" xr3:uid="{8EBB1B23-AEEB-4232-A8C1-FBC4B7BDEF76}" name="یک سریال دو تاریخ پذیرش" dataDxfId="1">
      <calculatedColumnFormula array="1">IF(A2="","",IF(SUMPRODUCT(($F$2:$F$969=F2)*($I$2:$I$969=I2))=1,"خیر",IF(SUMPRODUCT(($F$2:F2=F2)*($I$2:I2=I2))=1,"بله-1","بله")))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40"/>
  <sheetViews>
    <sheetView showGridLines="0" rightToLeft="1" tabSelected="1" zoomScale="84" zoomScaleNormal="84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21.85546875" style="1" bestFit="1" customWidth="1"/>
    <col min="2" max="2" width="10" style="1" bestFit="1" customWidth="1"/>
    <col min="3" max="3" width="13.5703125" style="1" bestFit="1" customWidth="1"/>
    <col min="4" max="4" width="19.5703125" style="1" bestFit="1" customWidth="1"/>
    <col min="5" max="5" width="15.140625" style="17" bestFit="1" customWidth="1"/>
    <col min="6" max="6" width="21" style="1" bestFit="1" customWidth="1"/>
    <col min="7" max="7" width="52.7109375" style="1" bestFit="1" customWidth="1"/>
    <col min="8" max="8" width="36.140625" style="1" bestFit="1" customWidth="1"/>
    <col min="9" max="9" width="21.28515625" style="1" bestFit="1" customWidth="1"/>
    <col min="10" max="10" width="18.85546875" style="1" bestFit="1" customWidth="1"/>
    <col min="11" max="11" width="18.5703125" style="1" bestFit="1" customWidth="1"/>
    <col min="12" max="12" width="11.140625" style="1" customWidth="1"/>
    <col min="13" max="13" width="31.85546875" style="1" bestFit="1" customWidth="1"/>
    <col min="14" max="14" width="45.140625" style="1" bestFit="1" customWidth="1"/>
    <col min="15" max="16" width="22.7109375" style="1" bestFit="1" customWidth="1"/>
    <col min="17" max="16384" width="9.140625" style="1"/>
  </cols>
  <sheetData>
    <row r="1" spans="1:16" s="4" customFormat="1" ht="52.5" x14ac:dyDescent="0.35">
      <c r="A1" s="6" t="s">
        <v>0</v>
      </c>
      <c r="B1" s="6" t="s">
        <v>1</v>
      </c>
      <c r="C1" s="6" t="s">
        <v>2</v>
      </c>
      <c r="D1" s="6" t="s">
        <v>3</v>
      </c>
      <c r="E1" s="1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  <c r="M1" s="6" t="s">
        <v>12</v>
      </c>
      <c r="N1" s="6" t="s">
        <v>13</v>
      </c>
      <c r="O1" s="6" t="s">
        <v>14</v>
      </c>
      <c r="P1" s="7" t="s">
        <v>2022</v>
      </c>
    </row>
    <row r="2" spans="1:16" ht="37.5" x14ac:dyDescent="0.25">
      <c r="A2" s="2">
        <v>100004312</v>
      </c>
      <c r="B2" s="2" t="s">
        <v>1950</v>
      </c>
      <c r="C2" s="2" t="s">
        <v>1951</v>
      </c>
      <c r="D2" s="2" t="s">
        <v>105</v>
      </c>
      <c r="E2" s="15" t="s">
        <v>1718</v>
      </c>
      <c r="F2" s="2" t="s">
        <v>1719</v>
      </c>
      <c r="G2" s="2" t="s">
        <v>1666</v>
      </c>
      <c r="H2" s="2" t="s">
        <v>1720</v>
      </c>
      <c r="I2" s="2" t="s">
        <v>1470</v>
      </c>
      <c r="J2" s="2" t="s">
        <v>1721</v>
      </c>
      <c r="K2" s="2"/>
      <c r="L2" s="3" t="str">
        <f>IF(OR(TRIM(I2)="",TRIM(K2)=""),"",IFERROR((VALUE(LEFT(TRIM(I2),4))-VALUE(LEFT(TRIM(K2),4)))*12+VALUE(MID(TRIM(I2),6,2))-VALUE(MID(TRIM(K2),6,2)),""))</f>
        <v/>
      </c>
      <c r="M2" s="2" t="str">
        <f>IF(TRIM(H2)="","",IFERROR(LOOKUP(2,1/(ISNUMBER(SEARCH('منطق دسته‌بندی'!$A$2:$A$187,H2))),'منطق دسته‌بندی'!$B$2:$B$187),"سایر (نیازمند بررسی دستی)"))</f>
        <v>قطعات تزئینی - شکستگی/کسری (تعویض)</v>
      </c>
      <c r="N2" s="2" t="s">
        <v>1722</v>
      </c>
      <c r="O2" s="2" t="str" cm="1">
        <f t="array" ref="O2">IF(A2="","",IF(SUMPRODUCT(($B$2:$B$965=B2)*($C$2:$C$965=C2)*($D$2:$D$965=D2)*($E$2:$E$965=E2)*($F$2:$F$965=F2)*($G$2:$G$965=G2)*($H$2:$H$965=H2)*($I$2:$I$965=I2)*($J$2:$J$965=J2)*($K$2:$K$965=K2)*($N$2:$N$965=N2))=1,"خیر",IF(SUMPRODUCT(($B$2:B2=B2)*($C$2:C2=C2)*($D$2:D2=D2)*($E$2:E2=E2)*($F$2:F2=F2)*($G$2:G2=G2)*($H$2:H2=H2)*($I$2:I2=I2)*($J$2:J2=J2)*($K$2:K2=K2)*($N$2:N2=N2))=1,"بله-1","بله")))</f>
        <v>خیر</v>
      </c>
      <c r="P2" s="5" t="str" cm="1">
        <f t="array" ref="P2">IF(A2="","",IF(SUMPRODUCT(($F$2:$F$969=F2)*($I$2:$I$969=I2))=1,"خیر",IF(SUMPRODUCT(($F$2:F2=F2)*($I$2:I2=I2))=1,"بله-1","بله")))</f>
        <v>خیر</v>
      </c>
    </row>
    <row r="3" spans="1:16" ht="37.5" x14ac:dyDescent="0.25">
      <c r="A3" s="2">
        <v>310006211</v>
      </c>
      <c r="B3" s="2" t="s">
        <v>1950</v>
      </c>
      <c r="C3" s="2" t="s">
        <v>1951</v>
      </c>
      <c r="D3" s="2" t="s">
        <v>105</v>
      </c>
      <c r="E3" s="2" t="s">
        <v>1714</v>
      </c>
      <c r="F3" s="2" t="s">
        <v>1715</v>
      </c>
      <c r="G3" s="2" t="s">
        <v>1716</v>
      </c>
      <c r="H3" s="2" t="s">
        <v>757</v>
      </c>
      <c r="I3" s="2" t="s">
        <v>1384</v>
      </c>
      <c r="J3" s="2" t="s">
        <v>937</v>
      </c>
      <c r="K3" s="2" t="s">
        <v>1717</v>
      </c>
      <c r="L3" s="3">
        <f>IF(OR(TRIM(I3)="",TRIM(K3)=""),"",IFERROR((VALUE(LEFT(TRIM(I3),4))-VALUE(LEFT(TRIM(K3),4)))*12+VALUE(MID(TRIM(I3),6,2))-VALUE(MID(TRIM(K3),6,2)),""))</f>
        <v>2</v>
      </c>
      <c r="M3" s="2" t="str">
        <f>IF(TRIM(H3)="","",IFERROR(LOOKUP(2,1/(ISNUMBER(SEARCH('منطق دسته‌بندی'!$A$2:$A$187,H3))),'منطق دسته‌بندی'!$B$2:$B$187),"سایر (نیازمند بررسی دستی)"))</f>
        <v>خرابی - لامپ/LED داخلی (تعویض)</v>
      </c>
      <c r="N3" s="2" t="s">
        <v>1102</v>
      </c>
      <c r="O3" s="2" t="str" cm="1">
        <f t="array" ref="O3">IF(A3="","",IF(SUMPRODUCT(($B$2:$B$965=B3)*($C$2:$C$965=C3)*($D$2:$D$965=D3)*($E$2:$E$965=E3)*($F$2:$F$965=F3)*($G$2:$G$965=G3)*($H$2:$H$965=H3)*($I$2:$I$965=I3)*($J$2:$J$965=J3)*($K$2:$K$965=K3)*($N$2:$N$965=N3))=1,"خیر",IF(SUMPRODUCT(($B$2:B3=B3)*($C$2:C3=C3)*($D$2:D3=D3)*($E$2:E3=E3)*($F$2:F3=F3)*($G$2:G3=G3)*($H$2:H3=H3)*($I$2:I3=I3)*($J$2:J3=J3)*($K$2:K3=K3)*($N$2:N3=N3))=1,"بله-1","بله")))</f>
        <v>خیر</v>
      </c>
      <c r="P3" s="5" t="str" cm="1">
        <f t="array" ref="P3">IF(A3="","",IF(SUMPRODUCT(($F$2:$F$969=F3)*($I$2:$I$969=I3))=1,"خیر",IF(SUMPRODUCT(($F$2:F3=F3)*($I$2:I3=I3))=1,"بله-1","بله")))</f>
        <v>خیر</v>
      </c>
    </row>
    <row r="4" spans="1:16" ht="18.75" x14ac:dyDescent="0.25">
      <c r="A4" s="2" t="s">
        <v>1325</v>
      </c>
      <c r="B4" s="2" t="s">
        <v>1040</v>
      </c>
      <c r="C4" s="2" t="s">
        <v>1041</v>
      </c>
      <c r="D4" s="2" t="s">
        <v>105</v>
      </c>
      <c r="E4" s="15" t="s">
        <v>1326</v>
      </c>
      <c r="F4" s="2" t="s">
        <v>1327</v>
      </c>
      <c r="G4" s="2" t="s">
        <v>73</v>
      </c>
      <c r="H4" s="2" t="s">
        <v>1296</v>
      </c>
      <c r="I4" s="2" t="s">
        <v>1305</v>
      </c>
      <c r="J4" s="2" t="s">
        <v>1328</v>
      </c>
      <c r="K4" s="2"/>
      <c r="L4" s="3" t="str">
        <f>IF(OR(TRIM(I4)="",TRIM(K4)=""),"",IFERROR((VALUE(LEFT(TRIM(I4),4))-VALUE(LEFT(TRIM(K4),4)))*12+VALUE(MID(TRIM(I4),6,2))-VALUE(MID(TRIM(K4),6,2)),""))</f>
        <v/>
      </c>
      <c r="M4" s="2" t="str">
        <f>IF(TRIM(H4)="","",IFERROR(LOOKUP(2,1/(ISNUMBER(SEARCH('منطق دسته‌بندی'!$A$2:$A$187,H4))),'منطق دسته‌بندی'!$B$2:$B$187),"سایر (نیازمند بررسی دستی)"))</f>
        <v>کلید فشاری (تعویض/بازبینی)</v>
      </c>
      <c r="N4" s="2" t="s">
        <v>1122</v>
      </c>
      <c r="O4" s="2" t="str" cm="1">
        <f t="array" ref="O4">IF(A4="","",IF(SUMPRODUCT(($B$2:$B$965=B4)*($C$2:$C$965=C4)*($D$2:$D$965=D4)*($E$2:$E$965=E4)*($F$2:$F$965=F4)*($G$2:$G$965=G4)*($H$2:$H$965=H4)*($I$2:$I$965=I4)*($J$2:$J$965=J4)*($K$2:$K$965=K4)*($N$2:$N$965=N4))=1,"خیر",IF(SUMPRODUCT(($B$2:B4=B4)*($C$2:C4=C4)*($D$2:D4=D4)*($E$2:E4=E4)*($F$2:F4=F4)*($G$2:G4=G4)*($H$2:H4=H4)*($I$2:I4=I4)*($J$2:J4=J4)*($K$2:K4=K4)*($N$2:N4=N4))=1,"بله-1","بله")))</f>
        <v>خیر</v>
      </c>
      <c r="P4" s="5" t="str" cm="1">
        <f t="array" ref="P4">IF(A4="","",IF(SUMPRODUCT(($F$2:$F$969=F4)*($I$2:$I$969=I4))=1,"خیر",IF(SUMPRODUCT(($F$2:F4=F4)*($I$2:I4=I4))=1,"بله-1","بله")))</f>
        <v>خیر</v>
      </c>
    </row>
    <row r="5" spans="1:16" ht="18.75" x14ac:dyDescent="0.25">
      <c r="A5" s="2">
        <v>210023216</v>
      </c>
      <c r="B5" s="2" t="s">
        <v>1950</v>
      </c>
      <c r="C5" s="2" t="s">
        <v>1951</v>
      </c>
      <c r="D5" s="2" t="s">
        <v>105</v>
      </c>
      <c r="E5" s="15" t="s">
        <v>1326</v>
      </c>
      <c r="F5" s="2" t="s">
        <v>1723</v>
      </c>
      <c r="G5" s="2" t="s">
        <v>1724</v>
      </c>
      <c r="H5" s="2" t="s">
        <v>1725</v>
      </c>
      <c r="I5" s="2" t="s">
        <v>1474</v>
      </c>
      <c r="J5" s="2" t="s">
        <v>1044</v>
      </c>
      <c r="K5" s="2"/>
      <c r="L5" s="3" t="str">
        <f>IF(OR(TRIM(I5)="",TRIM(K5)=""),"",IFERROR((VALUE(LEFT(TRIM(I5),4))-VALUE(LEFT(TRIM(K5),4)))*12+VALUE(MID(TRIM(I5),6,2))-VALUE(MID(TRIM(K5),6,2)),""))</f>
        <v/>
      </c>
      <c r="M5" s="2" t="str">
        <f>IF(TRIM(H5)="","",IFERROR(LOOKUP(2,1/(ISNUMBER(SEARCH('منطق دسته‌بندی'!$A$2:$A$187,H5))),'منطق دسته‌بندی'!$B$2:$B$187),"سایر (نیازمند بررسی دستی)"))</f>
        <v>سیم‌کشی/اتصالات (تعمیر/تنظیم)</v>
      </c>
      <c r="N5" s="2" t="s">
        <v>1381</v>
      </c>
      <c r="O5" s="2" t="str" cm="1">
        <f t="array" ref="O5">IF(A5="","",IF(SUMPRODUCT(($B$2:$B$965=B5)*($C$2:$C$965=C5)*($D$2:$D$965=D5)*($E$2:$E$965=E5)*($F$2:$F$965=F5)*($G$2:$G$965=G5)*($H$2:$H$965=H5)*($I$2:$I$965=I5)*($J$2:$J$965=J5)*($K$2:$K$965=K5)*($N$2:$N$965=N5))=1,"خیر",IF(SUMPRODUCT(($B$2:B5=B5)*($C$2:C5=C5)*($D$2:D5=D5)*($E$2:E5=E5)*($F$2:F5=F5)*($G$2:G5=G5)*($H$2:H5=H5)*($I$2:I5=I5)*($J$2:J5=J5)*($K$2:K5=K5)*($N$2:N5=N5))=1,"بله-1","بله")))</f>
        <v>خیر</v>
      </c>
      <c r="P5" s="5" t="str" cm="1">
        <f t="array" ref="P5">IF(A5="","",IF(SUMPRODUCT(($F$2:$F$969=F5)*($I$2:$I$969=I5))=1,"خیر",IF(SUMPRODUCT(($F$2:F5=F5)*($I$2:I5=I5))=1,"بله-1","بله")))</f>
        <v>خیر</v>
      </c>
    </row>
    <row r="6" spans="1:16" ht="18.75" x14ac:dyDescent="0.25">
      <c r="A6" s="2">
        <v>210021319</v>
      </c>
      <c r="B6" s="2" t="s">
        <v>1950</v>
      </c>
      <c r="C6" s="2" t="s">
        <v>1951</v>
      </c>
      <c r="D6" s="2" t="s">
        <v>105</v>
      </c>
      <c r="E6" s="15" t="s">
        <v>1326</v>
      </c>
      <c r="F6" s="2" t="s">
        <v>1726</v>
      </c>
      <c r="G6" s="2" t="s">
        <v>1724</v>
      </c>
      <c r="H6" s="2" t="s">
        <v>1727</v>
      </c>
      <c r="I6" s="2" t="s">
        <v>1384</v>
      </c>
      <c r="J6" s="2" t="s">
        <v>1328</v>
      </c>
      <c r="K6" s="2"/>
      <c r="L6" s="3" t="str">
        <f>IF(OR(TRIM(I6)="",TRIM(K6)=""),"",IFERROR((VALUE(LEFT(TRIM(I6),4))-VALUE(LEFT(TRIM(K6),4)))*12+VALUE(MID(TRIM(I6),6,2))-VALUE(MID(TRIM(K6),6,2)),""))</f>
        <v/>
      </c>
      <c r="M6" s="2" t="str">
        <f>IF(TRIM(H6)="","",IFERROR(LOOKUP(2,1/(ISNUMBER(SEARCH('منطق دسته‌بندی'!$A$2:$A$187,H6))),'منطق دسته‌بندی'!$B$2:$B$187),"سایر (نیازمند بررسی دستی)"))</f>
        <v>تنظیم ترموستات (تعمیر/تنظیم)</v>
      </c>
      <c r="N6" s="2" t="s">
        <v>1381</v>
      </c>
      <c r="O6" s="2" t="str" cm="1">
        <f t="array" ref="O6">IF(A6="","",IF(SUMPRODUCT(($B$2:$B$965=B6)*($C$2:$C$965=C6)*($D$2:$D$965=D6)*($E$2:$E$965=E6)*($F$2:$F$965=F6)*($G$2:$G$965=G6)*($H$2:$H$965=H6)*($I$2:$I$965=I6)*($J$2:$J$965=J6)*($K$2:$K$965=K6)*($N$2:$N$965=N6))=1,"خیر",IF(SUMPRODUCT(($B$2:B6=B6)*($C$2:C6=C6)*($D$2:D6=D6)*($E$2:E6=E6)*($F$2:F6=F6)*($G$2:G6=G6)*($H$2:H6=H6)*($I$2:I6=I6)*($J$2:J6=J6)*($K$2:K6=K6)*($N$2:N6=N6))=1,"بله-1","بله")))</f>
        <v>خیر</v>
      </c>
      <c r="P6" s="5" t="str" cm="1">
        <f t="array" ref="P6">IF(A6="","",IF(SUMPRODUCT(($F$2:$F$969=F6)*($I$2:$I$969=I6))=1,"خیر",IF(SUMPRODUCT(($F$2:F6=F6)*($I$2:I6=I6))=1,"بله-1","بله")))</f>
        <v>خیر</v>
      </c>
    </row>
    <row r="7" spans="1:16" ht="18.75" x14ac:dyDescent="0.25">
      <c r="A7" s="2">
        <v>130010154</v>
      </c>
      <c r="B7" s="2" t="s">
        <v>1040</v>
      </c>
      <c r="C7" s="2" t="s">
        <v>1041</v>
      </c>
      <c r="D7" s="2" t="s">
        <v>105</v>
      </c>
      <c r="E7" s="15" t="s">
        <v>1669</v>
      </c>
      <c r="F7" s="2" t="s">
        <v>1698</v>
      </c>
      <c r="G7" s="2" t="s">
        <v>1699</v>
      </c>
      <c r="H7" s="2" t="s">
        <v>1700</v>
      </c>
      <c r="I7" s="2" t="s">
        <v>1440</v>
      </c>
      <c r="J7" s="2" t="s">
        <v>640</v>
      </c>
      <c r="K7" s="2"/>
      <c r="L7" s="3" t="str">
        <f>IF(OR(TRIM(I7)="",TRIM(K7)=""),"",IFERROR((VALUE(LEFT(TRIM(I7),4))-VALUE(LEFT(TRIM(K7),4)))*12+VALUE(MID(TRIM(I7),6,2))-VALUE(MID(TRIM(K7),6,2)),""))</f>
        <v/>
      </c>
      <c r="M7" s="2" t="str">
        <f>IF(TRIM(H7)="","",IFERROR(LOOKUP(2,1/(ISNUMBER(SEARCH('منطق دسته‌بندی'!$A$2:$A$187,H7))),'منطق دسته‌بندی'!$B$2:$B$187),"سایر (نیازمند بررسی دستی)"))</f>
        <v>بدنه/درب - ایراد ظاهری (بازبینی)</v>
      </c>
      <c r="N7" s="2" t="s">
        <v>1701</v>
      </c>
      <c r="O7" s="2" t="str" cm="1">
        <f t="array" ref="O7">IF(A7="","",IF(SUMPRODUCT(($B$2:$B$965=B7)*($C$2:$C$965=C7)*($D$2:$D$965=D7)*($E$2:$E$965=E7)*($F$2:$F$965=F7)*($G$2:$G$965=G7)*($H$2:$H$965=H7)*($I$2:$I$965=I7)*($J$2:$J$965=J7)*($K$2:$K$965=K7)*($N$2:$N$965=N7))=1,"خیر",IF(SUMPRODUCT(($B$2:B7=B7)*($C$2:C7=C7)*($D$2:D7=D7)*($E$2:E7=E7)*($F$2:F7=F7)*($G$2:G7=G7)*($H$2:H7=H7)*($I$2:I7=I7)*($J$2:J7=J7)*($K$2:K7=K7)*($N$2:N7=N7))=1,"بله-1","بله")))</f>
        <v>خیر</v>
      </c>
      <c r="P7" s="5" t="str" cm="1">
        <f t="array" ref="P7">IF(A7="","",IF(SUMPRODUCT(($F$2:$F$969=F7)*($I$2:$I$969=I7))=1,"خیر",IF(SUMPRODUCT(($F$2:F7=F7)*($I$2:I7=I7))=1,"بله-1","بله")))</f>
        <v>خیر</v>
      </c>
    </row>
    <row r="8" spans="1:16" ht="56.25" x14ac:dyDescent="0.25">
      <c r="A8" s="2">
        <v>510024753</v>
      </c>
      <c r="B8" s="2" t="s">
        <v>1950</v>
      </c>
      <c r="C8" s="2" t="s">
        <v>1951</v>
      </c>
      <c r="D8" s="2" t="s">
        <v>105</v>
      </c>
      <c r="E8" s="15" t="s">
        <v>1669</v>
      </c>
      <c r="F8" s="2" t="s">
        <v>1692</v>
      </c>
      <c r="G8" s="2" t="s">
        <v>1693</v>
      </c>
      <c r="H8" s="2" t="s">
        <v>757</v>
      </c>
      <c r="I8" s="2" t="s">
        <v>1384</v>
      </c>
      <c r="J8" s="2" t="s">
        <v>298</v>
      </c>
      <c r="K8" s="2"/>
      <c r="L8" s="3" t="str">
        <f>IF(OR(TRIM(I8)="",TRIM(K8)=""),"",IFERROR((VALUE(LEFT(TRIM(I8),4))-VALUE(LEFT(TRIM(K8),4)))*12+VALUE(MID(TRIM(I8),6,2))-VALUE(MID(TRIM(K8),6,2)),""))</f>
        <v/>
      </c>
      <c r="M8" s="2" t="str">
        <f>IF(TRIM(H8)="","",IFERROR(LOOKUP(2,1/(ISNUMBER(SEARCH('منطق دسته‌بندی'!$A$2:$A$187,H8))),'منطق دسته‌بندی'!$B$2:$B$187),"سایر (نیازمند بررسی دستی)"))</f>
        <v>خرابی - لامپ/LED داخلی (تعویض)</v>
      </c>
      <c r="N8" s="2" t="s">
        <v>1102</v>
      </c>
      <c r="O8" s="2" t="str" cm="1">
        <f t="array" ref="O8">IF(A8="","",IF(SUMPRODUCT(($B$2:$B$965=B8)*($C$2:$C$965=C8)*($D$2:$D$965=D8)*($E$2:$E$965=E8)*($F$2:$F$965=F8)*($G$2:$G$965=G8)*($H$2:$H$965=H8)*($I$2:$I$965=I8)*($J$2:$J$965=J8)*($K$2:$K$965=K8)*($N$2:$N$965=N8))=1,"خیر",IF(SUMPRODUCT(($B$2:B8=B8)*($C$2:C8=C8)*($D$2:D8=D8)*($E$2:E8=E8)*($F$2:F8=F8)*($G$2:G8=G8)*($H$2:H8=H8)*($I$2:I8=I8)*($J$2:J8=J8)*($K$2:K8=K8)*($N$2:N8=N8))=1,"بله-1","بله")))</f>
        <v>خیر</v>
      </c>
      <c r="P8" s="5" t="str" cm="1">
        <f t="array" ref="P8">IF(A8="","",IF(SUMPRODUCT(($F$2:$F$969=F8)*($I$2:$I$969=I8))=1,"خیر",IF(SUMPRODUCT(($F$2:F8=F8)*($I$2:I8=I8))=1,"بله-1","بله")))</f>
        <v>خیر</v>
      </c>
    </row>
    <row r="9" spans="1:16" ht="56.25" x14ac:dyDescent="0.25">
      <c r="A9" s="2">
        <v>210024158</v>
      </c>
      <c r="B9" s="2" t="s">
        <v>1950</v>
      </c>
      <c r="C9" s="2" t="s">
        <v>1951</v>
      </c>
      <c r="D9" s="2" t="s">
        <v>105</v>
      </c>
      <c r="E9" s="2" t="s">
        <v>1669</v>
      </c>
      <c r="F9" s="2" t="s">
        <v>1670</v>
      </c>
      <c r="G9" s="2" t="s">
        <v>1671</v>
      </c>
      <c r="H9" s="2" t="s">
        <v>1672</v>
      </c>
      <c r="I9" s="2" t="s">
        <v>1410</v>
      </c>
      <c r="J9" s="2" t="s">
        <v>1673</v>
      </c>
      <c r="K9" s="2" t="s">
        <v>934</v>
      </c>
      <c r="L9" s="3">
        <f>IF(OR(TRIM(I9)="",TRIM(K9)=""),"",IFERROR((VALUE(LEFT(TRIM(I9),4))-VALUE(LEFT(TRIM(K9),4)))*12+VALUE(MID(TRIM(I9),6,2))-VALUE(MID(TRIM(K9),6,2)),""))</f>
        <v>3</v>
      </c>
      <c r="M9" s="2" t="str">
        <f>IF(TRIM(H9)="","",IFERROR(LOOKUP(2,1/(ISNUMBER(SEARCH('منطق دسته‌بندی'!$A$2:$A$187,H9))),'منطق دسته‌بندی'!$B$2:$B$187),"سایر (نیازمند بررسی دستی)"))</f>
        <v>قطعات تزئینی - شکستگی/کسری (تعویض)</v>
      </c>
      <c r="N9" s="2" t="s">
        <v>1674</v>
      </c>
      <c r="O9" s="2" t="str" cm="1">
        <f t="array" ref="O9">IF(A9="","",IF(SUMPRODUCT(($B$2:$B$965=B9)*($C$2:$C$965=C9)*($D$2:$D$965=D9)*($E$2:$E$965=E9)*($F$2:$F$965=F9)*($G$2:$G$965=G9)*($H$2:$H$965=H9)*($I$2:$I$965=I9)*($J$2:$J$965=J9)*($K$2:$K$965=K9)*($N$2:$N$965=N9))=1,"خیر",IF(SUMPRODUCT(($B$2:B9=B9)*($C$2:C9=C9)*($D$2:D9=D9)*($E$2:E9=E9)*($F$2:F9=F9)*($G$2:G9=G9)*($H$2:H9=H9)*($I$2:I9=I9)*($J$2:J9=J9)*($K$2:K9=K9)*($N$2:N9=N9))=1,"بله-1","بله")))</f>
        <v>خیر</v>
      </c>
      <c r="P9" s="5" t="str" cm="1">
        <f t="array" ref="P9">IF(A9="","",IF(SUMPRODUCT(($F$2:$F$969=F9)*($I$2:$I$969=I9))=1,"خیر",IF(SUMPRODUCT(($F$2:F9=F9)*($I$2:I9=I9))=1,"بله-1","بله")))</f>
        <v>خیر</v>
      </c>
    </row>
    <row r="10" spans="1:16" ht="37.5" x14ac:dyDescent="0.25">
      <c r="A10" s="2">
        <v>130011968</v>
      </c>
      <c r="B10" s="2" t="s">
        <v>1950</v>
      </c>
      <c r="C10" s="2" t="s">
        <v>1951</v>
      </c>
      <c r="D10" s="2" t="s">
        <v>2017</v>
      </c>
      <c r="E10" s="2" t="s">
        <v>1970</v>
      </c>
      <c r="F10" s="2" t="s">
        <v>1952</v>
      </c>
      <c r="G10" s="2" t="s">
        <v>1531</v>
      </c>
      <c r="H10" s="2" t="s">
        <v>757</v>
      </c>
      <c r="I10" s="2" t="s">
        <v>1995</v>
      </c>
      <c r="J10" s="2" t="s">
        <v>850</v>
      </c>
      <c r="K10" s="2" t="s">
        <v>1591</v>
      </c>
      <c r="L10" s="3">
        <f>IF(OR(TRIM(I10)="",TRIM(K10)=""),"",IFERROR((VALUE(LEFT(TRIM(I10),4))-VALUE(LEFT(TRIM(K10),4)))*12+VALUE(MID(TRIM(I10),6,2))-VALUE(MID(TRIM(K10),6,2)),""))</f>
        <v>9</v>
      </c>
      <c r="M10" s="2" t="str">
        <f>IF(OR(ISNUMBER(SEARCH("بدون مورد",H10)),ISNUMBER(SEARCH("غير گارانتي",H10)),ISNUMBER(SEARCH("غیر گارانتی",H10)),ISNUMBER(SEARCH("بدون اجرت",H10)),ISNUMBER(SEARCH("فيلتر",H10)),ISNUMBER(SEARCH("فیلتر",H10))),"غیرگارانتی/بدون قطعه",IF(OR(ISNUMBER(SEARCH("ريست",H10)),ISNUMBER(SEARCH("ریست",H10))),"ریست نرم‌افزاری (بدون قطعه)",IF(OR(ISNUMBER(SEARCH("تعویض محصول",H10)),ISNUMBER(SEARCH("تعویض دستگاه",H10))),"تعویض کامل دستگاه (Replacement)",IF(ISNUMBER(SEARCH("پمپ",H10)),IF(ISNUMBER(SEARCH("نشت",H10)),"نشتی - پمپ تخلیه (تعمیر/آب‌بندی)","خرابی - پمپ تخلیه (تعویض)"),IF(ISNUMBER(SEARCH("کمپرسور",H10)),"خرابی - کمپرسور (تعویض)",IF(ISNUMBER(SEARCH("کمک فنر",H10)),"خرابی - کمک فنر (تعویض)",IF(ISNUMBER(SEARCH("لولا",H10)),"مکانیزم درب - لولا (تعویض)",IF(OR(ISNUMBER(SEARCH("قلاب",H10)),ISNUMBER(SEARCH("ميکروسوئيچ",H10)),ISNUMBER(SEARCH("میکروسوئیچ",H10))),"مکانیزم درب - میکروسوئیچ/قلاب (تعویض/تنظیم)",IF(ISNUMBER(SEARCH("زبانه",H10)),"مکانیزم درب - زبانه (تعویض)",IF(OR(ISNUMBER(SEARCH("شيلنگ",H10)),ISNUMBER(SEARCH("شیلنگ",H10))),IF(OR(ISNUMBER(SEARCH("نشتی",H10)),ISNUMBER(SEARCH("نشتي",H10))),"نشتی - شیلنگ (تعمیر/آب‌بندی)",IF(OR(ISNUMBER(SEARCH("يخ",H10)),ISNUMBER(SEARCH("یخ",H10))),"شیلنگ یخساز - یخ‌زدگی (بازبینی)","شیلنگ - برخورد/لهیدگی (بازبینی)")),IF(OR(ISNUMBER(SEARCH("تنظيم ديسپل",H10)),ISNUMBER(SEARCH("تنظیم دیسپل",H10)),ISNUMBER(SEARCH("تنظيم صفحه نمايش",H10)),ISNUMBER(SEARCH("تنظیم صفحه نمایش",H10))),"تنظیم - تنظیمات دستگاه/دیسپلی (تعمیر)",IF(OR(ISNUMBER(SEARCH("برد",H10)),ISNUMBER(SEARCH("سوکت",H10)),ISNUMBER(SEARCH("ديسپل",H10)),ISNUMBER(SEARCH("دیسپل",H10))),"خرابی - برد الکترونیک (تعویض)",IF(OR(ISNUMBER(SEARCH("يخساز",H10)),ISNUMBER(SEARCH("یخساز",H10)),ISNUMBER(SEARCH("دمپر",H10))),IF(OR(ISNUMBER(SEARCH("خرابی",H10)),ISNUMBER(SEARCH("خراب",H10)),ISNUMBER(SEARCH("عدم کارکرد",H10)),ISNUMBER(SEARCH("عدم عملکرد",H10))),"یخساز - خرابی موتور/سنسور/برد (تعویض)","یخساز - تنظیم/عایق (تعمیر)"),IF(OR(ISNUMBER(SEARCH("لاستيک",H10)),ISNUMBER(SEARCH("لاستیک",H10))),"لاستیک درزگیر - دفرمگی/پارگی (تعویض)",IF(OR(ISNUMBER(SEARCH("گسکت",H10)),ISNUMBER(SEARCH("گسگت",H10))),"لاستیک درزگیر - دفرمگی/پارگی (تعویض)",IF(ISNUMBER(SEARCH("مخزن نمک",H10)),"نشتی - درب مخزن نمک (تعمیر/آب‌بندی)",IF(ISNUMBER(SEARCH("براکت",H10)),"نشتی - براکت ریل (تعمیر/آب‌بندی)",IF(ISNUMBER(SEARCH("جاپودر",H10)),"نشتی - جاپودری (تعمیر/آب‌بندی)",IF(ISNUMBER(SEARCH("مقسم",H10)),"نشتی - مقسم آب (تعمیر/آب‌بندی)",IF(OR(ISNUMBER(SEARCH("سنسور دما",H10)),ISNUMBER(SEARCH("ترموستات",H10))),"خرابی - ترموستات (تعویض)",IF(OR(ISNUMBER(SEARCH("هيدروستات",H10)),ISNUMBER(SEARCH("هیدروستات",H10))),"خرابی - هیدروستات (تعویض)",IF(OR(ISNUMBER(SEARCH("بلبرينگ",H10)),ISNUMBER(SEARCH("بلبرینگ",H10))),"خرابی - بلبرینگ (تعویض)",IF(OR(ISNUMBER(SEARCH("شيربرق",H10)),ISNUMBER(SEARCH("شیربرق",H10))),"خرابی - شیربرقی (تعویض)",IF(OR(ISNUMBER(SEARCH("واتر جت",H10)),ISNUMBER(SEARCH("واترجت",H10))),"خرابی - واترجت (تعویض)",IF(OR(ISNUMBER(SEARCH("سيم",H10)),ISNUMBER(SEARCH("سیم",H10)),ISNUMBER(SEARCH("اتصال",H10))),"سیم‌کشی/اتصالات (تعویض/بازبینی)",IF(OR(ISNUMBER(SEARCH("تصوير",H10)),ISNUMBER(SEARCH("تصویر",H10))),"برد نمایش تلویزیون (تعویض)",IF(OR(ISNUMBER(SEARCH("ريموت",H10)),ISNUMBER(SEARCH("ریموت",H10))),"ریموت کنترل (تعویض/تعمیر)",IF(OR(ISNUMBER(SEARCH("ال اي دي",H10)),ISNUMBER(SEARCH("ال ای دی",H10)),ISNUMBER(SEARCH("LED",H10))),"خرابی - لامپ/LED داخلی (تعویض)",IF(ISNUMBER(SEARCH("زنگ زدگ",H10)),"زنگ‌زدگی بدنه/قطعه (تعویض)",IF(OR(ISNUMBER(SEARCH("قطعات تزئين",H10)),ISNUMBER(SEARCH("قطعات تزئین",H10))),"قطعات تزئینی - شکستگی/کسری (تعویض)",IF(ISNUMBER(SEARCH("سبد",H10)),"سبد ظرفشویی - شکستگی (تعویض)",IF(ISNUMBER(SEARCH("تاب درام",H10)),"خرابی - تاب برداشتن درام (تعویض)",IF(ISNUMBER(SEARCH("درام",H10)),"خرابی - سایر ایراد درام (تعویض)",IF(ISNUMBER(SEARCH("موتور",H10)),"خرابی - موتور (تعویض)",IF(ISNUMBER(SEARCH("تسمه",H10)),"خرابی - تسمه (تعویض)",IF(OR(ISNUMBER(SEARCH("پيچ ولوم",H10)),ISNUMBER(SEARCH("پیچ ولوم",H10))),"تنظیم - پیچ ولوم/دکمه (تعمیر)",IF(OR(ISNUMBER(SEARCH("کسري قطعات",H10)),ISNUMBER(SEARCH("کسری قطعات",H10))),"کسری قطعات تزئینی (تعویض)",IF(ISNUMBER(SEARCH("پرچ",H10)),"پرچ/بدنه کابین(تعمیر)",IF(OR(ISNUMBER(SEARCH("نشت",H10)),ISNUMBER(SEARCH("آبريزش",H10)),ISNUMBER(SEARCH("آبریزش",H10))),"نشتی آب - محل نامشخص (نیازمند بازدید)",IF(ISNUMBER(SEARCH("درب",H10)),"سایر اجزای درب (بازبینی)",IF(ISNUMBER(SEARCH("ضربه",H10)),"بدنه/کابین - ضربه (بازبینی/تعویض پنل)",IF(ISNUMBER(SEARCH("تراز",H10)),"تراز/لرزش - نصب (رگلاژ پایه)",IF(OR(ISNUMBER(SEARCH("تعویض",H10)),ISNUMBER(SEARCH("تعويض",H10))),"تعویض کامل دستگاه (Replacement)","سایر (نیازمند بررسی دستی)")))))))))))))))))))))))))))))))))))))))))))</f>
        <v>خرابی - لامپ/LED داخلی (تعویض)</v>
      </c>
      <c r="N10" s="2" t="s">
        <v>1102</v>
      </c>
      <c r="O10" s="2" t="str" cm="1">
        <f t="array" ref="O10">IF(A10="","",IF(SUMPRODUCT(($B$2:$B$965=B10)*($C$2:$C$965=C10)*($D$2:$D$965=D10)*($E$2:$E$965=E10)*($F$2:$F$965=F10)*($G$2:$G$965=G10)*($H$2:$H$965=H10)*($I$2:$I$965=I10)*($J$2:$J$965=J10)*($K$2:$K$965=K10)*($N$2:$N$965=N10))=1,"خیر",IF(SUMPRODUCT(($B$2:B10=B10)*($C$2:C10=C10)*($D$2:D10=D10)*($E$2:E10=E10)*($F$2:F10=F10)*($G$2:G10=G10)*($H$2:H10=H10)*($I$2:I10=I10)*($J$2:J10=J10)*($K$2:K10=K10)*($N$2:N10=N10))=1,"بله-1","بله")))</f>
        <v>خیر</v>
      </c>
      <c r="P10" s="5" t="str" cm="1">
        <f t="array" ref="P10">IF(A10="","",IF(SUMPRODUCT(($F$2:$F$969=F10)*($I$2:$I$969=I10))=1,"خیر",IF(SUMPRODUCT(($F$2:F10=F10)*($I$2:I10=I10))=1,"بله-1","بله")))</f>
        <v>خیر</v>
      </c>
    </row>
    <row r="11" spans="1:16" ht="18.75" x14ac:dyDescent="0.25">
      <c r="A11" s="2" t="s">
        <v>1098</v>
      </c>
      <c r="B11" s="2" t="s">
        <v>1040</v>
      </c>
      <c r="C11" s="2" t="s">
        <v>1041</v>
      </c>
      <c r="D11" s="2" t="s">
        <v>105</v>
      </c>
      <c r="E11" s="15" t="s">
        <v>1099</v>
      </c>
      <c r="F11" s="2" t="s">
        <v>1100</v>
      </c>
      <c r="G11" s="2" t="s">
        <v>1101</v>
      </c>
      <c r="H11" s="2" t="s">
        <v>757</v>
      </c>
      <c r="I11" s="2" t="s">
        <v>1092</v>
      </c>
      <c r="J11" s="2"/>
      <c r="K11" s="2" t="s">
        <v>1222</v>
      </c>
      <c r="L11" s="3">
        <f>IF(OR(TRIM(I11)="",TRIM(K11)=""),"",IFERROR((VALUE(LEFT(TRIM(I11),4))-VALUE(LEFT(TRIM(K11),4)))*12+VALUE(MID(TRIM(I11),6,2))-VALUE(MID(TRIM(K11),6,2)),""))</f>
        <v>9</v>
      </c>
      <c r="M11" s="2" t="str">
        <f>IF(TRIM(H11)="","",IFERROR(LOOKUP(2,1/(ISNUMBER(SEARCH('منطق دسته‌بندی'!$A$2:$A$187,H11))),'منطق دسته‌بندی'!$B$2:$B$187),"سایر (نیازمند بررسی دستی)"))</f>
        <v>خرابی - لامپ/LED داخلی (تعویض)</v>
      </c>
      <c r="N11" s="2" t="s">
        <v>1102</v>
      </c>
      <c r="O11" s="2" t="str" cm="1">
        <f t="array" ref="O11">IF(A11="","",IF(SUMPRODUCT(($B$2:$B$965=B11)*($C$2:$C$965=C11)*($D$2:$D$965=D11)*($E$2:$E$965=E11)*($F$2:$F$965=F11)*($G$2:$G$965=G11)*($H$2:$H$965=H11)*($I$2:$I$965=I11)*($J$2:$J$965=J11)*($K$2:$K$965=K11)*($N$2:$N$965=N11))=1,"خیر",IF(SUMPRODUCT(($B$2:B11=B11)*($C$2:C11=C11)*($D$2:D11=D11)*($E$2:E11=E11)*($F$2:F11=F11)*($G$2:G11=G11)*($H$2:H11=H11)*($I$2:I11=I11)*($J$2:J11=J11)*($K$2:K11=K11)*($N$2:N11=N11))=1,"بله-1","بله")))</f>
        <v>خیر</v>
      </c>
      <c r="P11" s="5" t="str" cm="1">
        <f t="array" ref="P11">IF(A11="","",IF(SUMPRODUCT(($F$2:$F$969=F11)*($I$2:$I$969=I11))=1,"خیر",IF(SUMPRODUCT(($F$2:F11=F11)*($I$2:I11=I11))=1,"بله-1","بله")))</f>
        <v>خیر</v>
      </c>
    </row>
    <row r="12" spans="1:16" ht="37.5" x14ac:dyDescent="0.25">
      <c r="A12" s="2" t="s">
        <v>1218</v>
      </c>
      <c r="B12" s="2" t="s">
        <v>1040</v>
      </c>
      <c r="C12" s="2" t="s">
        <v>1041</v>
      </c>
      <c r="D12" s="2" t="s">
        <v>105</v>
      </c>
      <c r="E12" s="2" t="s">
        <v>1099</v>
      </c>
      <c r="F12" s="2" t="s">
        <v>1100</v>
      </c>
      <c r="G12" s="2" t="s">
        <v>1219</v>
      </c>
      <c r="H12" s="2" t="s">
        <v>757</v>
      </c>
      <c r="I12" s="2" t="s">
        <v>1220</v>
      </c>
      <c r="J12" s="2" t="s">
        <v>1221</v>
      </c>
      <c r="K12" s="2" t="s">
        <v>1222</v>
      </c>
      <c r="L12" s="3">
        <f>IF(OR(TRIM(I12)="",TRIM(K12)=""),"",IFERROR((VALUE(LEFT(TRIM(I12),4))-VALUE(LEFT(TRIM(K12),4)))*12+VALUE(MID(TRIM(I12),6,2))-VALUE(MID(TRIM(K12),6,2)),""))</f>
        <v>9</v>
      </c>
      <c r="M12" s="2" t="str">
        <f>IF(TRIM(H12)="","",IFERROR(LOOKUP(2,1/(ISNUMBER(SEARCH('منطق دسته‌بندی'!$A$2:$A$187,H12))),'منطق دسته‌بندی'!$B$2:$B$187),"سایر (نیازمند بررسی دستی)"))</f>
        <v>خرابی - لامپ/LED داخلی (تعویض)</v>
      </c>
      <c r="N12" s="2" t="s">
        <v>1102</v>
      </c>
      <c r="O12" s="2" t="str" cm="1">
        <f t="array" ref="O12">IF(A12="","",IF(SUMPRODUCT(($B$2:$B$965=B12)*($C$2:$C$965=C12)*($D$2:$D$965=D12)*($E$2:$E$965=E12)*($F$2:$F$965=F12)*($G$2:$G$965=G12)*($H$2:$H$965=H12)*($I$2:$I$965=I12)*($J$2:$J$965=J12)*($K$2:$K$965=K12)*($N$2:$N$965=N12))=1,"خیر",IF(SUMPRODUCT(($B$2:B12=B12)*($C$2:C12=C12)*($D$2:D12=D12)*($E$2:E12=E12)*($F$2:F12=F12)*($G$2:G12=G12)*($H$2:H12=H12)*($I$2:I12=I12)*($J$2:J12=J12)*($K$2:K12=K12)*($N$2:N12=N12))=1,"بله-1","بله")))</f>
        <v>خیر</v>
      </c>
      <c r="P12" s="5" t="str" cm="1">
        <f t="array" ref="P12">IF(A12="","",IF(SUMPRODUCT(($F$2:$F$969=F12)*($I$2:$I$969=I12))=1,"خیر",IF(SUMPRODUCT(($F$2:F12=F12)*($I$2:I12=I12))=1,"بله-1","بله")))</f>
        <v>خیر</v>
      </c>
    </row>
    <row r="13" spans="1:16" ht="37.5" x14ac:dyDescent="0.25">
      <c r="A13" s="2" t="s">
        <v>1293</v>
      </c>
      <c r="B13" s="2" t="s">
        <v>1040</v>
      </c>
      <c r="C13" s="2" t="s">
        <v>1041</v>
      </c>
      <c r="D13" s="2" t="s">
        <v>105</v>
      </c>
      <c r="E13" s="2" t="s">
        <v>855</v>
      </c>
      <c r="F13" s="2" t="s">
        <v>1294</v>
      </c>
      <c r="G13" s="2" t="s">
        <v>1295</v>
      </c>
      <c r="H13" s="2" t="s">
        <v>1296</v>
      </c>
      <c r="I13" s="2" t="s">
        <v>1280</v>
      </c>
      <c r="J13" s="2" t="s">
        <v>1297</v>
      </c>
      <c r="K13" s="2" t="s">
        <v>1298</v>
      </c>
      <c r="L13" s="3">
        <f>IF(OR(TRIM(I13)="",TRIM(K13)=""),"",IFERROR((VALUE(LEFT(TRIM(I13),4))-VALUE(LEFT(TRIM(K13),4)))*12+VALUE(MID(TRIM(I13),6,2))-VALUE(MID(TRIM(K13),6,2)),""))</f>
        <v>1</v>
      </c>
      <c r="M13" s="2" t="str">
        <f>IF(TRIM(H13)="","",IFERROR(LOOKUP(2,1/(ISNUMBER(SEARCH('منطق دسته‌بندی'!$A$2:$A$187,H13))),'منطق دسته‌بندی'!$B$2:$B$187),"سایر (نیازمند بررسی دستی)"))</f>
        <v>کلید فشاری (تعویض/بازبینی)</v>
      </c>
      <c r="N13" s="2" t="s">
        <v>1122</v>
      </c>
      <c r="O13" s="2" t="str" cm="1">
        <f t="array" ref="O13">IF(A13="","",IF(SUMPRODUCT(($B$2:$B$965=B13)*($C$2:$C$965=C13)*($D$2:$D$965=D13)*($E$2:$E$965=E13)*($F$2:$F$965=F13)*($G$2:$G$965=G13)*($H$2:$H$965=H13)*($I$2:$I$965=I13)*($J$2:$J$965=J13)*($K$2:$K$965=K13)*($N$2:$N$965=N13))=1,"خیر",IF(SUMPRODUCT(($B$2:B13=B13)*($C$2:C13=C13)*($D$2:D13=D13)*($E$2:E13=E13)*($F$2:F13=F13)*($G$2:G13=G13)*($H$2:H13=H13)*($I$2:I13=I13)*($J$2:J13=J13)*($K$2:K13=K13)*($N$2:N13=N13))=1,"بله-1","بله")))</f>
        <v>خیر</v>
      </c>
      <c r="P13" s="5" t="str" cm="1">
        <f t="array" ref="P13">IF(A13="","",IF(SUMPRODUCT(($F$2:$F$969=F13)*($I$2:$I$969=I13))=1,"خیر",IF(SUMPRODUCT(($F$2:F13=F13)*($I$2:I13=I13))=1,"بله-1","بله")))</f>
        <v>خیر</v>
      </c>
    </row>
    <row r="14" spans="1:16" ht="18.75" x14ac:dyDescent="0.25">
      <c r="A14" s="2">
        <v>510025638</v>
      </c>
      <c r="B14" s="2" t="s">
        <v>1950</v>
      </c>
      <c r="C14" s="2" t="s">
        <v>1951</v>
      </c>
      <c r="D14" s="2" t="s">
        <v>105</v>
      </c>
      <c r="E14" s="15" t="s">
        <v>855</v>
      </c>
      <c r="F14" s="2" t="s">
        <v>1664</v>
      </c>
      <c r="G14" s="2" t="s">
        <v>1544</v>
      </c>
      <c r="H14" s="2" t="s">
        <v>1296</v>
      </c>
      <c r="I14" s="2" t="s">
        <v>1474</v>
      </c>
      <c r="J14" s="2" t="s">
        <v>665</v>
      </c>
      <c r="K14" s="2"/>
      <c r="L14" s="3" t="str">
        <f>IF(OR(TRIM(I14)="",TRIM(K14)=""),"",IFERROR((VALUE(LEFT(TRIM(I14),4))-VALUE(LEFT(TRIM(K14),4)))*12+VALUE(MID(TRIM(I14),6,2))-VALUE(MID(TRIM(K14),6,2)),""))</f>
        <v/>
      </c>
      <c r="M14" s="2" t="str">
        <f>IF(TRIM(H14)="","",IFERROR(LOOKUP(2,1/(ISNUMBER(SEARCH('منطق دسته‌بندی'!$A$2:$A$187,H14))),'منطق دسته‌بندی'!$B$2:$B$187),"سایر (نیازمند بررسی دستی)"))</f>
        <v>کلید فشاری (تعویض/بازبینی)</v>
      </c>
      <c r="N14" s="2" t="s">
        <v>1534</v>
      </c>
      <c r="O14" s="2" t="str" cm="1">
        <f t="array" ref="O14">IF(A14="","",IF(SUMPRODUCT(($B$2:$B$965=B14)*($C$2:$C$965=C14)*($D$2:$D$965=D14)*($E$2:$E$965=E14)*($F$2:$F$965=F14)*($G$2:$G$965=G14)*($H$2:$H$965=H14)*($I$2:$I$965=I14)*($J$2:$J$965=J14)*($K$2:$K$965=K14)*($N$2:$N$965=N14))=1,"خیر",IF(SUMPRODUCT(($B$2:B14=B14)*($C$2:C14=C14)*($D$2:D14=D14)*($E$2:E14=E14)*($F$2:F14=F14)*($G$2:G14=G14)*($H$2:H14=H14)*($I$2:I14=I14)*($J$2:J14=J14)*($K$2:K14=K14)*($N$2:N14=N14))=1,"بله-1","بله")))</f>
        <v>خیر</v>
      </c>
      <c r="P14" s="5" t="str" cm="1">
        <f t="array" ref="P14">IF(A14="","",IF(SUMPRODUCT(($F$2:$F$969=F14)*($I$2:$I$969=I14))=1,"خیر",IF(SUMPRODUCT(($F$2:F14=F14)*($I$2:I14=I14))=1,"بله-1","بله")))</f>
        <v>خیر</v>
      </c>
    </row>
    <row r="15" spans="1:16" ht="37.5" x14ac:dyDescent="0.25">
      <c r="A15" s="2">
        <v>310008317</v>
      </c>
      <c r="B15" s="2" t="s">
        <v>1040</v>
      </c>
      <c r="C15" s="2" t="s">
        <v>1041</v>
      </c>
      <c r="D15" s="2" t="s">
        <v>105</v>
      </c>
      <c r="E15" s="2" t="s">
        <v>855</v>
      </c>
      <c r="F15" s="2" t="s">
        <v>1530</v>
      </c>
      <c r="G15" s="2" t="s">
        <v>1531</v>
      </c>
      <c r="H15" s="2" t="s">
        <v>1296</v>
      </c>
      <c r="I15" s="2" t="s">
        <v>1416</v>
      </c>
      <c r="J15" s="2" t="s">
        <v>1532</v>
      </c>
      <c r="K15" s="2" t="s">
        <v>1533</v>
      </c>
      <c r="L15" s="3">
        <f>IF(OR(TRIM(I15)="",TRIM(K15)=""),"",IFERROR((VALUE(LEFT(TRIM(I15),4))-VALUE(LEFT(TRIM(K15),4)))*12+VALUE(MID(TRIM(I15),6,2))-VALUE(MID(TRIM(K15),6,2)),""))</f>
        <v>1</v>
      </c>
      <c r="M15" s="2" t="str">
        <f>IF(TRIM(H15)="","",IFERROR(LOOKUP(2,1/(ISNUMBER(SEARCH('منطق دسته‌بندی'!$A$2:$A$187,H15))),'منطق دسته‌بندی'!$B$2:$B$187),"سایر (نیازمند بررسی دستی)"))</f>
        <v>کلید فشاری (تعویض/بازبینی)</v>
      </c>
      <c r="N15" s="2" t="s">
        <v>1534</v>
      </c>
      <c r="O15" s="2" t="str" cm="1">
        <f t="array" ref="O15">IF(A15="","",IF(SUMPRODUCT(($B$2:$B$965=B15)*($C$2:$C$965=C15)*($D$2:$D$965=D15)*($E$2:$E$965=E15)*($F$2:$F$965=F15)*($G$2:$G$965=G15)*($H$2:$H$965=H15)*($I$2:$I$965=I15)*($J$2:$J$965=J15)*($K$2:$K$965=K15)*($N$2:$N$965=N15))=1,"خیر",IF(SUMPRODUCT(($B$2:B15=B15)*($C$2:C15=C15)*($D$2:D15=D15)*($E$2:E15=E15)*($F$2:F15=F15)*($G$2:G15=G15)*($H$2:H15=H15)*($I$2:I15=I15)*($J$2:J15=J15)*($K$2:K15=K15)*($N$2:N15=N15))=1,"بله-1","بله")))</f>
        <v>خیر</v>
      </c>
      <c r="P15" s="5" t="str" cm="1">
        <f t="array" ref="P15">IF(A15="","",IF(SUMPRODUCT(($F$2:$F$969=F15)*($I$2:$I$969=I15))=1,"خیر",IF(SUMPRODUCT(($F$2:F15=F15)*($I$2:I15=I15))=1,"بله-1","بله")))</f>
        <v>خیر</v>
      </c>
    </row>
    <row r="16" spans="1:16" ht="18.75" x14ac:dyDescent="0.25">
      <c r="A16" s="2" t="s">
        <v>854</v>
      </c>
      <c r="B16" s="2" t="s">
        <v>632</v>
      </c>
      <c r="C16" s="2" t="s">
        <v>633</v>
      </c>
      <c r="D16" s="2" t="s">
        <v>105</v>
      </c>
      <c r="E16" s="2" t="s">
        <v>855</v>
      </c>
      <c r="F16" s="2" t="s">
        <v>856</v>
      </c>
      <c r="G16" s="2" t="s">
        <v>375</v>
      </c>
      <c r="H16" s="2" t="s">
        <v>857</v>
      </c>
      <c r="I16" s="2" t="s">
        <v>858</v>
      </c>
      <c r="J16" s="2" t="s">
        <v>859</v>
      </c>
      <c r="K16" s="2" t="s">
        <v>511</v>
      </c>
      <c r="L16" s="3">
        <f>IF(OR(TRIM(I16)="",TRIM(K16)=""),"",IFERROR((VALUE(LEFT(TRIM(I16),4))-VALUE(LEFT(TRIM(K16),4)))*12+VALUE(MID(TRIM(I16),6,2))-VALUE(MID(TRIM(K16),6,2)),""))</f>
        <v>12</v>
      </c>
      <c r="M16" s="2" t="str">
        <f>IF(TRIM(H16)="","",IFERROR(LOOKUP(2,1/(ISNUMBER(SEARCH('منطق دسته‌بندی'!$A$2:$A$187,H16))),'منطق دسته‌بندی'!$B$2:$B$187),"سایر (نیازمند بررسی دستی)"))</f>
        <v>خرابی - کمپرسور (تعویض)</v>
      </c>
      <c r="N16" s="2" t="s">
        <v>860</v>
      </c>
      <c r="O16" s="2" t="str" cm="1">
        <f t="array" ref="O16">IF(A16="","",IF(SUMPRODUCT(($B$2:$B$965=B16)*($C$2:$C$965=C16)*($D$2:$D$965=D16)*($E$2:$E$965=E16)*($F$2:$F$965=F16)*($G$2:$G$965=G16)*($H$2:$H$965=H16)*($I$2:$I$965=I16)*($J$2:$J$965=J16)*($K$2:$K$965=K16)*($N$2:$N$965=N16))=1,"خیر",IF(SUMPRODUCT(($B$2:B16=B16)*($C$2:C16=C16)*($D$2:D16=D16)*($E$2:E16=E16)*($F$2:F16=F16)*($G$2:G16=G16)*($H$2:H16=H16)*($I$2:I16=I16)*($J$2:J16=J16)*($K$2:K16=K16)*($N$2:N16=N16))=1,"بله-1","بله")))</f>
        <v>خیر</v>
      </c>
      <c r="P16" s="5" t="str" cm="1">
        <f t="array" ref="P16">IF(A16="","",IF(SUMPRODUCT(($F$2:$F$969=F16)*($I$2:$I$969=I16))=1,"خیر",IF(SUMPRODUCT(($F$2:F16=F16)*($I$2:I16=I16))=1,"بله-1","بله")))</f>
        <v>خیر</v>
      </c>
    </row>
    <row r="17" spans="1:16" ht="37.5" x14ac:dyDescent="0.25">
      <c r="A17" s="2" t="s">
        <v>104</v>
      </c>
      <c r="B17" s="2" t="s">
        <v>16</v>
      </c>
      <c r="C17" s="2" t="s">
        <v>17</v>
      </c>
      <c r="D17" s="2" t="s">
        <v>105</v>
      </c>
      <c r="E17" s="2" t="s">
        <v>106</v>
      </c>
      <c r="F17" s="2" t="s">
        <v>107</v>
      </c>
      <c r="G17" s="2" t="s">
        <v>108</v>
      </c>
      <c r="H17" s="2" t="s">
        <v>109</v>
      </c>
      <c r="I17" s="2" t="s">
        <v>47</v>
      </c>
      <c r="J17" s="2" t="s">
        <v>63</v>
      </c>
      <c r="K17" s="2" t="s">
        <v>110</v>
      </c>
      <c r="L17" s="3">
        <f>IF(OR(TRIM(I17)="",TRIM(K17)=""),"",IFERROR((VALUE(LEFT(TRIM(I17),4))-VALUE(LEFT(TRIM(K17),4)))*12+VALUE(MID(TRIM(I17),6,2))-VALUE(MID(TRIM(K17),6,2)),""))</f>
        <v>13</v>
      </c>
      <c r="M17" s="2" t="str">
        <f>IF(TRIM(H17)="","",IFERROR(LOOKUP(2,1/(ISNUMBER(SEARCH('منطق دسته‌بندی'!$A$2:$A$187,H17))),'منطق دسته‌بندی'!$B$2:$B$187),"سایر (نیازمند بررسی دستی)"))</f>
        <v>مکانیزم درب - لولا (تعویض/تنظیم)</v>
      </c>
      <c r="N17" s="2" t="s">
        <v>111</v>
      </c>
      <c r="O17" s="2" t="str" cm="1">
        <f t="array" ref="O17">IF(A17="","",IF(SUMPRODUCT(($B$2:$B$965=B17)*($C$2:$C$965=C17)*($D$2:$D$965=D17)*($E$2:$E$965=E17)*($F$2:$F$965=F17)*($G$2:$G$965=G17)*($H$2:$H$965=H17)*($I$2:$I$965=I17)*($J$2:$J$965=J17)*($K$2:$K$965=K17)*($N$2:$N$965=N17))=1,"خیر",IF(SUMPRODUCT(($B$2:B17=B17)*($C$2:C17=C17)*($D$2:D17=D17)*($E$2:E17=E17)*($F$2:F17=F17)*($G$2:G17=G17)*($H$2:H17=H17)*($I$2:I17=I17)*($J$2:J17=J17)*($K$2:K17=K17)*($N$2:N17=N17))=1,"بله-1","بله")))</f>
        <v>خیر</v>
      </c>
      <c r="P17" s="5" t="str" cm="1">
        <f t="array" ref="P17">IF(A17="","",IF(SUMPRODUCT(($F$2:$F$969=F17)*($I$2:$I$969=I17))=1,"خیر",IF(SUMPRODUCT(($F$2:F17=F17)*($I$2:I17=I17))=1,"بله-1","بله")))</f>
        <v>خیر</v>
      </c>
    </row>
    <row r="18" spans="1:16" ht="18.75" x14ac:dyDescent="0.25">
      <c r="A18" s="2">
        <v>210022043</v>
      </c>
      <c r="B18" s="2" t="s">
        <v>1040</v>
      </c>
      <c r="C18" s="2" t="s">
        <v>1041</v>
      </c>
      <c r="D18" s="2" t="s">
        <v>105</v>
      </c>
      <c r="E18" s="2" t="s">
        <v>848</v>
      </c>
      <c r="F18" s="2" t="s">
        <v>1712</v>
      </c>
      <c r="G18" s="2" t="s">
        <v>1544</v>
      </c>
      <c r="H18" s="2" t="s">
        <v>1296</v>
      </c>
      <c r="I18" s="2" t="s">
        <v>1440</v>
      </c>
      <c r="J18" s="2" t="s">
        <v>1713</v>
      </c>
      <c r="K18" s="2" t="s">
        <v>1492</v>
      </c>
      <c r="L18" s="3">
        <f>IF(OR(TRIM(I18)="",TRIM(K18)=""),"",IFERROR((VALUE(LEFT(TRIM(I18),4))-VALUE(LEFT(TRIM(K18),4)))*12+VALUE(MID(TRIM(I18),6,2))-VALUE(MID(TRIM(K18),6,2)),""))</f>
        <v>0</v>
      </c>
      <c r="M18" s="2" t="str">
        <f>IF(TRIM(H18)="","",IFERROR(LOOKUP(2,1/(ISNUMBER(SEARCH('منطق دسته‌بندی'!$A$2:$A$187,H18))),'منطق دسته‌بندی'!$B$2:$B$187),"سایر (نیازمند بررسی دستی)"))</f>
        <v>کلید فشاری (تعویض/بازبینی)</v>
      </c>
      <c r="N18" s="2" t="s">
        <v>1534</v>
      </c>
      <c r="O18" s="2" t="str" cm="1">
        <f t="array" ref="O18">IF(A18="","",IF(SUMPRODUCT(($B$2:$B$965=B18)*($C$2:$C$965=C18)*($D$2:$D$965=D18)*($E$2:$E$965=E18)*($F$2:$F$965=F18)*($G$2:$G$965=G18)*($H$2:$H$965=H18)*($I$2:$I$965=I18)*($J$2:$J$965=J18)*($K$2:$K$965=K18)*($N$2:$N$965=N18))=1,"خیر",IF(SUMPRODUCT(($B$2:B18=B18)*($C$2:C18=C18)*($D$2:D18=D18)*($E$2:E18=E18)*($F$2:F18=F18)*($G$2:G18=G18)*($H$2:H18=H18)*($I$2:I18=I18)*($J$2:J18=J18)*($K$2:K18=K18)*($N$2:N18=N18))=1,"بله-1","بله")))</f>
        <v>خیر</v>
      </c>
      <c r="P18" s="5" t="str" cm="1">
        <f t="array" ref="P18">IF(A18="","",IF(SUMPRODUCT(($F$2:$F$969=F18)*($I$2:$I$969=I18))=1,"خیر",IF(SUMPRODUCT(($F$2:F18=F18)*($I$2:I18=I18))=1,"بله-1","بله")))</f>
        <v>خیر</v>
      </c>
    </row>
    <row r="19" spans="1:16" ht="18.75" x14ac:dyDescent="0.25">
      <c r="A19" s="2" t="s">
        <v>932</v>
      </c>
      <c r="B19" s="2" t="s">
        <v>881</v>
      </c>
      <c r="C19" s="2" t="s">
        <v>882</v>
      </c>
      <c r="D19" s="2" t="s">
        <v>105</v>
      </c>
      <c r="E19" s="2" t="s">
        <v>848</v>
      </c>
      <c r="F19" s="2" t="s">
        <v>933</v>
      </c>
      <c r="G19" s="2" t="s">
        <v>756</v>
      </c>
      <c r="H19" s="2" t="s">
        <v>598</v>
      </c>
      <c r="I19" s="2" t="s">
        <v>919</v>
      </c>
      <c r="J19" s="2" t="s">
        <v>934</v>
      </c>
      <c r="K19" s="2" t="s">
        <v>934</v>
      </c>
      <c r="L19" s="3">
        <f>IF(OR(TRIM(I19)="",TRIM(K19)=""),"",IFERROR((VALUE(LEFT(TRIM(I19),4))-VALUE(LEFT(TRIM(K19),4)))*12+VALUE(MID(TRIM(I19),6,2))-VALUE(MID(TRIM(K19),6,2)),""))</f>
        <v>0</v>
      </c>
      <c r="M19" s="2" t="str">
        <f>IF(TRIM(H19)="","",IFERROR(LOOKUP(2,1/(ISNUMBER(SEARCH('منطق دسته‌بندی'!$A$2:$A$187,H19))),'منطق دسته‌بندی'!$B$2:$B$187),"سایر (نیازمند بررسی دستی)"))</f>
        <v>خرابی - لامپ/LED داخلی (تعویض)</v>
      </c>
      <c r="N19" s="2" t="s">
        <v>601</v>
      </c>
      <c r="O19" s="2" t="str" cm="1">
        <f t="array" ref="O19">IF(A19="","",IF(SUMPRODUCT(($B$2:$B$965=B19)*($C$2:$C$965=C19)*($D$2:$D$965=D19)*($E$2:$E$965=E19)*($F$2:$F$965=F19)*($G$2:$G$965=G19)*($H$2:$H$965=H19)*($I$2:$I$965=I19)*($J$2:$J$965=J19)*($K$2:$K$965=K19)*($N$2:$N$965=N19))=1,"خیر",IF(SUMPRODUCT(($B$2:B19=B19)*($C$2:C19=C19)*($D$2:D19=D19)*($E$2:E19=E19)*($F$2:F19=F19)*($G$2:G19=G19)*($H$2:H19=H19)*($I$2:I19=I19)*($J$2:J19=J19)*($K$2:K19=K19)*($N$2:N19=N19))=1,"بله-1","بله")))</f>
        <v>خیر</v>
      </c>
      <c r="P19" s="5" t="str" cm="1">
        <f t="array" ref="P19">IF(A19="","",IF(SUMPRODUCT(($F$2:$F$969=F19)*($I$2:$I$969=I19))=1,"خیر",IF(SUMPRODUCT(($F$2:F19=F19)*($I$2:I19=I19))=1,"بله-1","بله")))</f>
        <v>خیر</v>
      </c>
    </row>
    <row r="20" spans="1:16" ht="18.75" x14ac:dyDescent="0.25">
      <c r="A20" s="2">
        <v>210023074</v>
      </c>
      <c r="B20" s="2" t="s">
        <v>1950</v>
      </c>
      <c r="C20" s="2" t="s">
        <v>1951</v>
      </c>
      <c r="D20" s="2" t="s">
        <v>105</v>
      </c>
      <c r="E20" s="2" t="s">
        <v>848</v>
      </c>
      <c r="F20" s="2" t="s">
        <v>1655</v>
      </c>
      <c r="G20" s="2" t="s">
        <v>1539</v>
      </c>
      <c r="H20" s="2" t="s">
        <v>757</v>
      </c>
      <c r="I20" s="2" t="s">
        <v>1389</v>
      </c>
      <c r="J20" s="2" t="s">
        <v>1656</v>
      </c>
      <c r="K20" s="2" t="s">
        <v>1547</v>
      </c>
      <c r="L20" s="3">
        <f>IF(OR(TRIM(I20)="",TRIM(K20)=""),"",IFERROR((VALUE(LEFT(TRIM(I20),4))-VALUE(LEFT(TRIM(K20),4)))*12+VALUE(MID(TRIM(I20),6,2))-VALUE(MID(TRIM(K20),6,2)),""))</f>
        <v>0</v>
      </c>
      <c r="M20" s="2" t="str">
        <f>IF(TRIM(H20)="","",IFERROR(LOOKUP(2,1/(ISNUMBER(SEARCH('منطق دسته‌بندی'!$A$2:$A$187,H20))),'منطق دسته‌بندی'!$B$2:$B$187),"سایر (نیازمند بررسی دستی)"))</f>
        <v>خرابی - لامپ/LED داخلی (تعویض)</v>
      </c>
      <c r="N20" s="2" t="s">
        <v>1102</v>
      </c>
      <c r="O20" s="2" t="str" cm="1">
        <f t="array" ref="O20">IF(A20="","",IF(SUMPRODUCT(($B$2:$B$965=B20)*($C$2:$C$965=C20)*($D$2:$D$965=D20)*($E$2:$E$965=E20)*($F$2:$F$965=F20)*($G$2:$G$965=G20)*($H$2:$H$965=H20)*($I$2:$I$965=I20)*($J$2:$J$965=J20)*($K$2:$K$965=K20)*($N$2:$N$965=N20))=1,"خیر",IF(SUMPRODUCT(($B$2:B20=B20)*($C$2:C20=C20)*($D$2:D20=D20)*($E$2:E20=E20)*($F$2:F20=F20)*($G$2:G20=G20)*($H$2:H20=H20)*($I$2:I20=I20)*($J$2:J20=J20)*($K$2:K20=K20)*($N$2:N20=N20))=1,"بله-1","بله")))</f>
        <v>خیر</v>
      </c>
      <c r="P20" s="5" t="str" cm="1">
        <f t="array" ref="P20">IF(A20="","",IF(SUMPRODUCT(($F$2:$F$969=F20)*($I$2:$I$969=I20))=1,"خیر",IF(SUMPRODUCT(($F$2:F20=F20)*($I$2:I20=I20))=1,"بله-1","بله")))</f>
        <v>خیر</v>
      </c>
    </row>
    <row r="21" spans="1:16" ht="37.5" x14ac:dyDescent="0.25">
      <c r="A21" s="2">
        <v>210023894</v>
      </c>
      <c r="B21" s="2" t="s">
        <v>1950</v>
      </c>
      <c r="C21" s="2" t="s">
        <v>1951</v>
      </c>
      <c r="D21" s="2" t="s">
        <v>105</v>
      </c>
      <c r="E21" s="2" t="s">
        <v>848</v>
      </c>
      <c r="F21" s="2" t="s">
        <v>1654</v>
      </c>
      <c r="G21" s="2" t="s">
        <v>1531</v>
      </c>
      <c r="H21" s="2" t="s">
        <v>757</v>
      </c>
      <c r="I21" s="2" t="s">
        <v>1479</v>
      </c>
      <c r="J21" s="2" t="s">
        <v>443</v>
      </c>
      <c r="K21" s="2" t="s">
        <v>309</v>
      </c>
      <c r="L21" s="3">
        <f>IF(OR(TRIM(I21)="",TRIM(K21)=""),"",IFERROR((VALUE(LEFT(TRIM(I21),4))-VALUE(LEFT(TRIM(K21),4)))*12+VALUE(MID(TRIM(I21),6,2))-VALUE(MID(TRIM(K21),6,2)),""))</f>
        <v>5</v>
      </c>
      <c r="M21" s="2" t="str">
        <f>IF(TRIM(H21)="","",IFERROR(LOOKUP(2,1/(ISNUMBER(SEARCH('منطق دسته‌بندی'!$A$2:$A$187,H21))),'منطق دسته‌بندی'!$B$2:$B$187),"سایر (نیازمند بررسی دستی)"))</f>
        <v>خرابی - لامپ/LED داخلی (تعویض)</v>
      </c>
      <c r="N21" s="2" t="s">
        <v>1102</v>
      </c>
      <c r="O21" s="2" t="str" cm="1">
        <f t="array" ref="O21">IF(A21="","",IF(SUMPRODUCT(($B$2:$B$965=B21)*($C$2:$C$965=C21)*($D$2:$D$965=D21)*($E$2:$E$965=E21)*($F$2:$F$965=F21)*($G$2:$G$965=G21)*($H$2:$H$965=H21)*($I$2:$I$965=I21)*($J$2:$J$965=J21)*($K$2:$K$965=K21)*($N$2:$N$965=N21))=1,"خیر",IF(SUMPRODUCT(($B$2:B21=B21)*($C$2:C21=C21)*($D$2:D21=D21)*($E$2:E21=E21)*($F$2:F21=F21)*($G$2:G21=G21)*($H$2:H21=H21)*($I$2:I21=I21)*($J$2:J21=J21)*($K$2:K21=K21)*($N$2:N21=N21))=1,"بله-1","بله")))</f>
        <v>خیر</v>
      </c>
      <c r="P21" s="5" t="str" cm="1">
        <f t="array" ref="P21">IF(A21="","",IF(SUMPRODUCT(($F$2:$F$969=F21)*($I$2:$I$969=I21))=1,"خیر",IF(SUMPRODUCT(($F$2:F21=F21)*($I$2:I21=I21))=1,"بله-1","بله")))</f>
        <v>خیر</v>
      </c>
    </row>
    <row r="22" spans="1:16" ht="18.75" x14ac:dyDescent="0.25">
      <c r="A22" s="2" t="s">
        <v>847</v>
      </c>
      <c r="B22" s="2" t="s">
        <v>632</v>
      </c>
      <c r="C22" s="2" t="s">
        <v>633</v>
      </c>
      <c r="D22" s="2" t="s">
        <v>105</v>
      </c>
      <c r="E22" s="2" t="s">
        <v>848</v>
      </c>
      <c r="F22" s="2" t="s">
        <v>849</v>
      </c>
      <c r="G22" s="2" t="s">
        <v>756</v>
      </c>
      <c r="H22" s="2" t="s">
        <v>598</v>
      </c>
      <c r="I22" s="2" t="s">
        <v>845</v>
      </c>
      <c r="J22" s="2" t="s">
        <v>546</v>
      </c>
      <c r="K22" s="2" t="s">
        <v>850</v>
      </c>
      <c r="L22" s="3">
        <f>IF(OR(TRIM(I22)="",TRIM(K22)=""),"",IFERROR((VALUE(LEFT(TRIM(I22),4))-VALUE(LEFT(TRIM(K22),4)))*12+VALUE(MID(TRIM(I22),6,2))-VALUE(MID(TRIM(K22),6,2)),""))</f>
        <v>8</v>
      </c>
      <c r="M22" s="2" t="str">
        <f>IF(TRIM(H22)="","",IFERROR(LOOKUP(2,1/(ISNUMBER(SEARCH('منطق دسته‌بندی'!$A$2:$A$187,H22))),'منطق دسته‌بندی'!$B$2:$B$187),"سایر (نیازمند بررسی دستی)"))</f>
        <v>خرابی - لامپ/LED داخلی (تعویض)</v>
      </c>
      <c r="N22" s="2" t="s">
        <v>601</v>
      </c>
      <c r="O22" s="2" t="str" cm="1">
        <f t="array" ref="O22">IF(A22="","",IF(SUMPRODUCT(($B$2:$B$965=B22)*($C$2:$C$965=C22)*($D$2:$D$965=D22)*($E$2:$E$965=E22)*($F$2:$F$965=F22)*($G$2:$G$965=G22)*($H$2:$H$965=H22)*($I$2:$I$965=I22)*($J$2:$J$965=J22)*($K$2:$K$965=K22)*($N$2:$N$965=N22))=1,"خیر",IF(SUMPRODUCT(($B$2:B22=B22)*($C$2:C22=C22)*($D$2:D22=D22)*($E$2:E22=E22)*($F$2:F22=F22)*($G$2:G22=G22)*($H$2:H22=H22)*($I$2:I22=I22)*($J$2:J22=J22)*($K$2:K22=K22)*($N$2:N22=N22))=1,"بله-1","بله")))</f>
        <v>خیر</v>
      </c>
      <c r="P22" s="5" t="str" cm="1">
        <f t="array" ref="P22">IF(A22="","",IF(SUMPRODUCT(($F$2:$F$969=F22)*($I$2:$I$969=I22))=1,"خیر",IF(SUMPRODUCT(($F$2:F22=F22)*($I$2:I22=I22))=1,"بله-1","بله")))</f>
        <v>خیر</v>
      </c>
    </row>
    <row r="23" spans="1:16" ht="37.5" x14ac:dyDescent="0.25">
      <c r="A23" s="2" t="s">
        <v>1145</v>
      </c>
      <c r="B23" s="2" t="s">
        <v>1040</v>
      </c>
      <c r="C23" s="2" t="s">
        <v>1041</v>
      </c>
      <c r="D23" s="2" t="s">
        <v>105</v>
      </c>
      <c r="E23" s="2" t="s">
        <v>848</v>
      </c>
      <c r="F23" s="2" t="s">
        <v>1146</v>
      </c>
      <c r="G23" s="2" t="s">
        <v>1113</v>
      </c>
      <c r="H23" s="2" t="s">
        <v>1147</v>
      </c>
      <c r="I23" s="2" t="s">
        <v>1128</v>
      </c>
      <c r="J23" s="2" t="s">
        <v>1052</v>
      </c>
      <c r="K23" s="2" t="s">
        <v>1076</v>
      </c>
      <c r="L23" s="3">
        <f>IF(OR(TRIM(I23)="",TRIM(K23)=""),"",IFERROR((VALUE(LEFT(TRIM(I23),4))-VALUE(LEFT(TRIM(K23),4)))*12+VALUE(MID(TRIM(I23),6,2))-VALUE(MID(TRIM(K23),6,2)),""))</f>
        <v>0</v>
      </c>
      <c r="M23" s="2" t="str">
        <f>IF(TRIM(H23)="","",IFERROR(LOOKUP(2,1/(ISNUMBER(SEARCH('منطق دسته‌بندی'!$A$2:$A$187,H23))),'منطق دسته‌بندی'!$B$2:$B$187),"سایر (نیازمند بررسی دستی)"))</f>
        <v>قطعات تزئینی - شکستگی/کسری (تعویض)</v>
      </c>
      <c r="N23" s="2" t="s">
        <v>1148</v>
      </c>
      <c r="O23" s="2" t="str" cm="1">
        <f t="array" ref="O23">IF(A23="","",IF(SUMPRODUCT(($B$2:$B$965=B23)*($C$2:$C$965=C23)*($D$2:$D$965=D23)*($E$2:$E$965=E23)*($F$2:$F$965=F23)*($G$2:$G$965=G23)*($H$2:$H$965=H23)*($I$2:$I$965=I23)*($J$2:$J$965=J23)*($K$2:$K$965=K23)*($N$2:$N$965=N23))=1,"خیر",IF(SUMPRODUCT(($B$2:B23=B23)*($C$2:C23=C23)*($D$2:D23=D23)*($E$2:E23=E23)*($F$2:F23=F23)*($G$2:G23=G23)*($H$2:H23=H23)*($I$2:I23=I23)*($J$2:J23=J23)*($K$2:K23=K23)*($N$2:N23=N23))=1,"بله-1","بله")))</f>
        <v>خیر</v>
      </c>
      <c r="P23" s="5" t="str" cm="1">
        <f t="array" ref="P23">IF(A23="","",IF(SUMPRODUCT(($F$2:$F$969=F23)*($I$2:$I$969=I23))=1,"خیر",IF(SUMPRODUCT(($F$2:F23=F23)*($I$2:I23=I23))=1,"بله-1","بله")))</f>
        <v>خیر</v>
      </c>
    </row>
    <row r="24" spans="1:16" ht="37.5" x14ac:dyDescent="0.25">
      <c r="A24" s="2">
        <v>130011786</v>
      </c>
      <c r="B24" s="2" t="s">
        <v>1950</v>
      </c>
      <c r="C24" s="2" t="s">
        <v>1951</v>
      </c>
      <c r="D24" s="2" t="s">
        <v>2017</v>
      </c>
      <c r="E24" s="2" t="s">
        <v>1970</v>
      </c>
      <c r="F24" s="2" t="s">
        <v>1969</v>
      </c>
      <c r="G24" s="2" t="s">
        <v>1984</v>
      </c>
      <c r="H24" s="2" t="s">
        <v>757</v>
      </c>
      <c r="I24" s="2" t="s">
        <v>1999</v>
      </c>
      <c r="J24" s="2" t="s">
        <v>678</v>
      </c>
      <c r="K24" s="2" t="s">
        <v>763</v>
      </c>
      <c r="L24" s="3">
        <f>IF(OR(TRIM(I24)="",TRIM(K24)=""),"",IFERROR((VALUE(LEFT(TRIM(I24),4))-VALUE(LEFT(TRIM(K24),4)))*12+VALUE(MID(TRIM(I24),6,2))-VALUE(MID(TRIM(K24),6,2)),""))</f>
        <v>12</v>
      </c>
      <c r="M24" s="2" t="str">
        <f>IF(OR(ISNUMBER(SEARCH("بدون مورد",H24)),ISNUMBER(SEARCH("غير گارانتي",H24)),ISNUMBER(SEARCH("غیر گارانتی",H24)),ISNUMBER(SEARCH("بدون اجرت",H24)),ISNUMBER(SEARCH("فيلتر",H24)),ISNUMBER(SEARCH("فیلتر",H24))),"غیرگارانتی/بدون قطعه",IF(OR(ISNUMBER(SEARCH("ريست",H24)),ISNUMBER(SEARCH("ریست",H24))),"ریست نرم‌افزاری (بدون قطعه)",IF(OR(ISNUMBER(SEARCH("تعویض محصول",H24)),ISNUMBER(SEARCH("تعویض دستگاه",H24))),"تعویض کامل دستگاه (Replacement)",IF(ISNUMBER(SEARCH("پمپ",H24)),IF(ISNUMBER(SEARCH("نشت",H24)),"نشتی - پمپ تخلیه (تعمیر/آب‌بندی)","خرابی - پمپ تخلیه (تعویض)"),IF(ISNUMBER(SEARCH("کمپرسور",H24)),"خرابی - کمپرسور (تعویض)",IF(ISNUMBER(SEARCH("کمک فنر",H24)),"خرابی - کمک فنر (تعویض)",IF(ISNUMBER(SEARCH("لولا",H24)),"مکانیزم درب - لولا (تعویض)",IF(OR(ISNUMBER(SEARCH("قلاب",H24)),ISNUMBER(SEARCH("ميکروسوئيچ",H24)),ISNUMBER(SEARCH("میکروسوئیچ",H24))),"مکانیزم درب - میکروسوئیچ/قلاب (تعویض/تنظیم)",IF(ISNUMBER(SEARCH("زبانه",H24)),"مکانیزم درب - زبانه (تعویض)",IF(OR(ISNUMBER(SEARCH("شيلنگ",H24)),ISNUMBER(SEARCH("شیلنگ",H24))),IF(OR(ISNUMBER(SEARCH("نشتی",H24)),ISNUMBER(SEARCH("نشتي",H24))),"نشتی - شیلنگ (تعمیر/آب‌بندی)",IF(OR(ISNUMBER(SEARCH("يخ",H24)),ISNUMBER(SEARCH("یخ",H24))),"شیلنگ یخساز - یخ‌زدگی (بازبینی)","شیلنگ - برخورد/لهیدگی (بازبینی)")),IF(OR(ISNUMBER(SEARCH("تنظيم ديسپل",H24)),ISNUMBER(SEARCH("تنظیم دیسپل",H24)),ISNUMBER(SEARCH("تنظيم صفحه نمايش",H24)),ISNUMBER(SEARCH("تنظیم صفحه نمایش",H24))),"تنظیم - تنظیمات دستگاه/دیسپلی (تعمیر)",IF(OR(ISNUMBER(SEARCH("برد",H24)),ISNUMBER(SEARCH("سوکت",H24)),ISNUMBER(SEARCH("ديسپل",H24)),ISNUMBER(SEARCH("دیسپل",H24))),"خرابی - برد الکترونیک (تعویض)",IF(OR(ISNUMBER(SEARCH("يخساز",H24)),ISNUMBER(SEARCH("یخساز",H24)),ISNUMBER(SEARCH("دمپر",H24))),IF(OR(ISNUMBER(SEARCH("خرابی",H24)),ISNUMBER(SEARCH("خراب",H24)),ISNUMBER(SEARCH("عدم کارکرد",H24)),ISNUMBER(SEARCH("عدم عملکرد",H24))),"یخساز - خرابی موتور/سنسور/برد (تعویض)","یخساز - تنظیم/عایق (تعمیر)"),IF(OR(ISNUMBER(SEARCH("لاستيک",H24)),ISNUMBER(SEARCH("لاستیک",H24))),"لاستیک درزگیر - دفرمگی/پارگی (تعویض)",IF(OR(ISNUMBER(SEARCH("گسکت",H24)),ISNUMBER(SEARCH("گسگت",H24))),"لاستیک درزگیر - دفرمگی/پارگی (تعویض)",IF(ISNUMBER(SEARCH("مخزن نمک",H24)),"نشتی - درب مخزن نمک (تعمیر/آب‌بندی)",IF(ISNUMBER(SEARCH("براکت",H24)),"نشتی - براکت ریل (تعمیر/آب‌بندی)",IF(ISNUMBER(SEARCH("جاپودر",H24)),"نشتی - جاپودری (تعمیر/آب‌بندی)",IF(ISNUMBER(SEARCH("مقسم",H24)),"نشتی - مقسم آب (تعمیر/آب‌بندی)",IF(OR(ISNUMBER(SEARCH("سنسور دما",H24)),ISNUMBER(SEARCH("ترموستات",H24))),"خرابی - ترموستات (تعویض)",IF(OR(ISNUMBER(SEARCH("هيدروستات",H24)),ISNUMBER(SEARCH("هیدروستات",H24))),"خرابی - هیدروستات (تعویض)",IF(OR(ISNUMBER(SEARCH("بلبرينگ",H24)),ISNUMBER(SEARCH("بلبرینگ",H24))),"خرابی - بلبرینگ (تعویض)",IF(OR(ISNUMBER(SEARCH("شيربرق",H24)),ISNUMBER(SEARCH("شیربرق",H24))),"خرابی - شیربرقی (تعویض)",IF(OR(ISNUMBER(SEARCH("واتر جت",H24)),ISNUMBER(SEARCH("واترجت",H24))),"خرابی - واترجت (تعویض)",IF(OR(ISNUMBER(SEARCH("سيم",H24)),ISNUMBER(SEARCH("سیم",H24)),ISNUMBER(SEARCH("اتصال",H24))),"سیم‌کشی/اتصالات (تعویض/بازبینی)",IF(OR(ISNUMBER(SEARCH("تصوير",H24)),ISNUMBER(SEARCH("تصویر",H24))),"برد نمایش تلویزیون (تعویض)",IF(OR(ISNUMBER(SEARCH("ريموت",H24)),ISNUMBER(SEARCH("ریموت",H24))),"ریموت کنترل (تعویض/تعمیر)",IF(OR(ISNUMBER(SEARCH("ال اي دي",H24)),ISNUMBER(SEARCH("ال ای دی",H24)),ISNUMBER(SEARCH("LED",H24))),"خرابی - لامپ/LED داخلی (تعویض)",IF(ISNUMBER(SEARCH("زنگ زدگ",H24)),"زنگ‌زدگی بدنه/قطعه (تعویض)",IF(OR(ISNUMBER(SEARCH("قطعات تزئين",H24)),ISNUMBER(SEARCH("قطعات تزئین",H24))),"قطعات تزئینی - شکستگی/کسری (تعویض)",IF(ISNUMBER(SEARCH("سبد",H24)),"سبد ظرفشویی - شکستگی (تعویض)",IF(ISNUMBER(SEARCH("تاب درام",H24)),"خرابی - تاب برداشتن درام (تعویض)",IF(ISNUMBER(SEARCH("درام",H24)),"خرابی - سایر ایراد درام (تعویض)",IF(ISNUMBER(SEARCH("موتور",H24)),"خرابی - موتور (تعویض)",IF(ISNUMBER(SEARCH("تسمه",H24)),"خرابی - تسمه (تعویض)",IF(OR(ISNUMBER(SEARCH("پيچ ولوم",H24)),ISNUMBER(SEARCH("پیچ ولوم",H24))),"تنظیم - پیچ ولوم/دکمه (تعمیر)",IF(OR(ISNUMBER(SEARCH("کسري قطعات",H24)),ISNUMBER(SEARCH("کسری قطعات",H24))),"کسری قطعات تزئینی (تعویض)",IF(ISNUMBER(SEARCH("پرچ",H24)),"پرچ/بدنه کابین(تعمیر)",IF(OR(ISNUMBER(SEARCH("نشت",H24)),ISNUMBER(SEARCH("آبريزش",H24)),ISNUMBER(SEARCH("آبریزش",H24))),"نشتی آب - محل نامشخص (نیازمند بازدید)",IF(ISNUMBER(SEARCH("درب",H24)),"سایر اجزای درب (بازبینی)",IF(ISNUMBER(SEARCH("ضربه",H24)),"بدنه/کابین - ضربه (بازبینی/تعویض پنل)",IF(ISNUMBER(SEARCH("تراز",H24)),"تراز/لرزش - نصب (رگلاژ پایه)",IF(OR(ISNUMBER(SEARCH("تعویض",H24)),ISNUMBER(SEARCH("تعويض",H24))),"تعویض کامل دستگاه (Replacement)","سایر (نیازمند بررسی دستی)")))))))))))))))))))))))))))))))))))))))))))</f>
        <v>خرابی - لامپ/LED داخلی (تعویض)</v>
      </c>
      <c r="N24" s="2" t="s">
        <v>1102</v>
      </c>
      <c r="O24" s="2" t="str" cm="1">
        <f t="array" ref="O24">IF(A24="","",IF(SUMPRODUCT(($B$2:$B$965=B24)*($C$2:$C$965=C24)*($D$2:$D$965=D24)*($E$2:$E$965=E24)*($F$2:$F$965=F24)*($G$2:$G$965=G24)*($H$2:$H$965=H24)*($I$2:$I$965=I24)*($J$2:$J$965=J24)*($K$2:$K$965=K24)*($N$2:$N$965=N24))=1,"خیر",IF(SUMPRODUCT(($B$2:B24=B24)*($C$2:C24=C24)*($D$2:D24=D24)*($E$2:E24=E24)*($F$2:F24=F24)*($G$2:G24=G24)*($H$2:H24=H24)*($I$2:I24=I24)*($J$2:J24=J24)*($K$2:K24=K24)*($N$2:N24=N24))=1,"بله-1","بله")))</f>
        <v>خیر</v>
      </c>
      <c r="P24" s="5" t="str" cm="1">
        <f t="array" ref="P24">IF(A24="","",IF(SUMPRODUCT(($F$2:$F$969=F24)*($I$2:$I$969=I24))=1,"خیر",IF(SUMPRODUCT(($F$2:F24=F24)*($I$2:I24=I24))=1,"بله-1","بله")))</f>
        <v>خیر</v>
      </c>
    </row>
    <row r="25" spans="1:16" ht="18.75" x14ac:dyDescent="0.25">
      <c r="A25" s="2" t="s">
        <v>1066</v>
      </c>
      <c r="B25" s="2" t="s">
        <v>1040</v>
      </c>
      <c r="C25" s="2" t="s">
        <v>1041</v>
      </c>
      <c r="D25" s="2" t="s">
        <v>105</v>
      </c>
      <c r="E25" s="15" t="s">
        <v>848</v>
      </c>
      <c r="F25" s="2" t="s">
        <v>1067</v>
      </c>
      <c r="G25" s="2" t="s">
        <v>1068</v>
      </c>
      <c r="H25" s="2" t="s">
        <v>1069</v>
      </c>
      <c r="I25" s="2" t="s">
        <v>675</v>
      </c>
      <c r="J25" s="2" t="s">
        <v>1070</v>
      </c>
      <c r="K25" s="2"/>
      <c r="L25" s="3" t="str">
        <f>IF(OR(TRIM(I25)="",TRIM(K25)=""),"",IFERROR((VALUE(LEFT(TRIM(I25),4))-VALUE(LEFT(TRIM(K25),4)))*12+VALUE(MID(TRIM(I25),6,2))-VALUE(MID(TRIM(K25),6,2)),""))</f>
        <v/>
      </c>
      <c r="M25" s="2" t="str">
        <f>IF(TRIM(H25)="","",IFERROR(LOOKUP(2,1/(ISNUMBER(SEARCH('منطق دسته‌بندی'!$A$2:$A$187,H25))),'منطق دسته‌بندی'!$B$2:$B$187),"سایر (نیازمند بررسی دستی)"))</f>
        <v>مکانیزم درب - دستگیره (تعویض)</v>
      </c>
      <c r="N25" s="2" t="s">
        <v>1071</v>
      </c>
      <c r="O25" s="2" t="str" cm="1">
        <f t="array" ref="O25">IF(A25="","",IF(SUMPRODUCT(($B$2:$B$965=B25)*($C$2:$C$965=C25)*($D$2:$D$965=D25)*($E$2:$E$965=E25)*($F$2:$F$965=F25)*($G$2:$G$965=G25)*($H$2:$H$965=H25)*($I$2:$I$965=I25)*($J$2:$J$965=J25)*($K$2:$K$965=K25)*($N$2:$N$965=N25))=1,"خیر",IF(SUMPRODUCT(($B$2:B25=B25)*($C$2:C25=C25)*($D$2:D25=D25)*($E$2:E25=E25)*($F$2:F25=F25)*($G$2:G25=G25)*($H$2:H25=H25)*($I$2:I25=I25)*($J$2:J25=J25)*($K$2:K25=K25)*($N$2:N25=N25))=1,"بله-1","بله")))</f>
        <v>خیر</v>
      </c>
      <c r="P25" s="5" t="str" cm="1">
        <f t="array" ref="P25">IF(A25="","",IF(SUMPRODUCT(($F$2:$F$969=F25)*($I$2:$I$969=I25))=1,"خیر",IF(SUMPRODUCT(($F$2:F25=F25)*($I$2:I25=I25))=1,"بله-1","بله")))</f>
        <v>خیر</v>
      </c>
    </row>
    <row r="26" spans="1:16" ht="18.75" x14ac:dyDescent="0.25">
      <c r="A26" s="2" t="s">
        <v>1120</v>
      </c>
      <c r="B26" s="2" t="s">
        <v>1040</v>
      </c>
      <c r="C26" s="2" t="s">
        <v>1041</v>
      </c>
      <c r="D26" s="2" t="s">
        <v>105</v>
      </c>
      <c r="E26" s="2" t="s">
        <v>848</v>
      </c>
      <c r="F26" s="2" t="s">
        <v>1121</v>
      </c>
      <c r="G26" s="2" t="s">
        <v>756</v>
      </c>
      <c r="H26" s="2" t="s">
        <v>1122</v>
      </c>
      <c r="I26" s="2" t="s">
        <v>1092</v>
      </c>
      <c r="J26" s="2" t="s">
        <v>1123</v>
      </c>
      <c r="K26" s="2" t="s">
        <v>1124</v>
      </c>
      <c r="L26" s="3">
        <f>IF(OR(TRIM(I26)="",TRIM(K26)=""),"",IFERROR((VALUE(LEFT(TRIM(I26),4))-VALUE(LEFT(TRIM(K26),4)))*12+VALUE(MID(TRIM(I26),6,2))-VALUE(MID(TRIM(K26),6,2)),""))</f>
        <v>1</v>
      </c>
      <c r="M26" s="2" t="str">
        <f>IF(TRIM(H26)="","",IFERROR(LOOKUP(2,1/(ISNUMBER(SEARCH('منطق دسته‌بندی'!$A$2:$A$187,H26))),'منطق دسته‌بندی'!$B$2:$B$187),"سایر (نیازمند بررسی دستی)"))</f>
        <v>کلید فشاری (تعویض/بازبینی)</v>
      </c>
      <c r="N26" s="2" t="s">
        <v>1122</v>
      </c>
      <c r="O26" s="2" t="str" cm="1">
        <f t="array" ref="O26">IF(A26="","",IF(SUMPRODUCT(($B$2:$B$965=B26)*($C$2:$C$965=C26)*($D$2:$D$965=D26)*($E$2:$E$965=E26)*($F$2:$F$965=F26)*($G$2:$G$965=G26)*($H$2:$H$965=H26)*($I$2:$I$965=I26)*($J$2:$J$965=J26)*($K$2:$K$965=K26)*($N$2:$N$965=N26))=1,"خیر",IF(SUMPRODUCT(($B$2:B26=B26)*($C$2:C26=C26)*($D$2:D26=D26)*($E$2:E26=E26)*($F$2:F26=F26)*($G$2:G26=G26)*($H$2:H26=H26)*($I$2:I26=I26)*($J$2:J26=J26)*($K$2:K26=K26)*($N$2:N26=N26))=1,"بله-1","بله")))</f>
        <v>خیر</v>
      </c>
      <c r="P26" s="5" t="str" cm="1">
        <f t="array" ref="P26">IF(A26="","",IF(SUMPRODUCT(($F$2:$F$969=F26)*($I$2:$I$969=I26))=1,"خیر",IF(SUMPRODUCT(($F$2:F26=F26)*($I$2:I26=I26))=1,"بله-1","بله")))</f>
        <v>خیر</v>
      </c>
    </row>
    <row r="27" spans="1:16" ht="18.75" x14ac:dyDescent="0.25">
      <c r="A27" s="2" t="s">
        <v>1303</v>
      </c>
      <c r="B27" s="2" t="s">
        <v>1040</v>
      </c>
      <c r="C27" s="2" t="s">
        <v>1041</v>
      </c>
      <c r="D27" s="2" t="s">
        <v>105</v>
      </c>
      <c r="E27" s="2" t="s">
        <v>848</v>
      </c>
      <c r="F27" s="2" t="s">
        <v>1304</v>
      </c>
      <c r="G27" s="2" t="s">
        <v>756</v>
      </c>
      <c r="H27" s="2" t="s">
        <v>757</v>
      </c>
      <c r="I27" s="2" t="s">
        <v>1305</v>
      </c>
      <c r="J27" s="2" t="s">
        <v>1306</v>
      </c>
      <c r="K27" s="2" t="s">
        <v>1307</v>
      </c>
      <c r="L27" s="3">
        <f>IF(OR(TRIM(I27)="",TRIM(K27)=""),"",IFERROR((VALUE(LEFT(TRIM(I27),4))-VALUE(LEFT(TRIM(K27),4)))*12+VALUE(MID(TRIM(I27),6,2))-VALUE(MID(TRIM(K27),6,2)),""))</f>
        <v>10</v>
      </c>
      <c r="M27" s="2" t="str">
        <f>IF(TRIM(H27)="","",IFERROR(LOOKUP(2,1/(ISNUMBER(SEARCH('منطق دسته‌بندی'!$A$2:$A$187,H27))),'منطق دسته‌بندی'!$B$2:$B$187),"سایر (نیازمند بررسی دستی)"))</f>
        <v>خرابی - لامپ/LED داخلی (تعویض)</v>
      </c>
      <c r="N27" s="2" t="s">
        <v>1102</v>
      </c>
      <c r="O27" s="2" t="str" cm="1">
        <f t="array" ref="O27">IF(A27="","",IF(SUMPRODUCT(($B$2:$B$965=B27)*($C$2:$C$965=C27)*($D$2:$D$965=D27)*($E$2:$E$965=E27)*($F$2:$F$965=F27)*($G$2:$G$965=G27)*($H$2:$H$965=H27)*($I$2:$I$965=I27)*($J$2:$J$965=J27)*($K$2:$K$965=K27)*($N$2:$N$965=N27))=1,"خیر",IF(SUMPRODUCT(($B$2:B27=B27)*($C$2:C27=C27)*($D$2:D27=D27)*($E$2:E27=E27)*($F$2:F27=F27)*($G$2:G27=G27)*($H$2:H27=H27)*($I$2:I27=I27)*($J$2:J27=J27)*($K$2:K27=K27)*($N$2:N27=N27))=1,"بله-1","بله")))</f>
        <v>خیر</v>
      </c>
      <c r="P27" s="5" t="str" cm="1">
        <f t="array" ref="P27">IF(A27="","",IF(SUMPRODUCT(($F$2:$F$969=F27)*($I$2:$I$969=I27))=1,"خیر",IF(SUMPRODUCT(($F$2:F27=F27)*($I$2:I27=I27))=1,"بله-1","بله")))</f>
        <v>خیر</v>
      </c>
    </row>
    <row r="28" spans="1:16" ht="18.75" x14ac:dyDescent="0.25">
      <c r="A28" s="2">
        <v>130011682</v>
      </c>
      <c r="B28" s="2" t="s">
        <v>1950</v>
      </c>
      <c r="C28" s="2" t="s">
        <v>1951</v>
      </c>
      <c r="D28" s="2" t="s">
        <v>105</v>
      </c>
      <c r="E28" s="2" t="s">
        <v>848</v>
      </c>
      <c r="F28" s="2" t="s">
        <v>1538</v>
      </c>
      <c r="G28" s="2" t="s">
        <v>1539</v>
      </c>
      <c r="H28" s="2" t="s">
        <v>757</v>
      </c>
      <c r="I28" s="2" t="s">
        <v>1424</v>
      </c>
      <c r="J28" s="2" t="s">
        <v>1540</v>
      </c>
      <c r="K28" s="2" t="s">
        <v>812</v>
      </c>
      <c r="L28" s="3">
        <f>IF(OR(TRIM(I28)="",TRIM(K28)=""),"",IFERROR((VALUE(LEFT(TRIM(I28),4))-VALUE(LEFT(TRIM(K28),4)))*12+VALUE(MID(TRIM(I28),6,2))-VALUE(MID(TRIM(K28),6,2)),""))</f>
        <v>4</v>
      </c>
      <c r="M28" s="2" t="str">
        <f>IF(TRIM(H28)="","",IFERROR(LOOKUP(2,1/(ISNUMBER(SEARCH('منطق دسته‌بندی'!$A$2:$A$187,H28))),'منطق دسته‌بندی'!$B$2:$B$187),"سایر (نیازمند بررسی دستی)"))</f>
        <v>خرابی - لامپ/LED داخلی (تعویض)</v>
      </c>
      <c r="N28" s="2" t="s">
        <v>1102</v>
      </c>
      <c r="O28" s="2" t="str" cm="1">
        <f t="array" ref="O28">IF(A28="","",IF(SUMPRODUCT(($B$2:$B$965=B28)*($C$2:$C$965=C28)*($D$2:$D$965=D28)*($E$2:$E$965=E28)*($F$2:$F$965=F28)*($G$2:$G$965=G28)*($H$2:$H$965=H28)*($I$2:$I$965=I28)*($J$2:$J$965=J28)*($K$2:$K$965=K28)*($N$2:$N$965=N28))=1,"خیر",IF(SUMPRODUCT(($B$2:B28=B28)*($C$2:C28=C28)*($D$2:D28=D28)*($E$2:E28=E28)*($F$2:F28=F28)*($G$2:G28=G28)*($H$2:H28=H28)*($I$2:I28=I28)*($J$2:J28=J28)*($K$2:K28=K28)*($N$2:N28=N28))=1,"بله-1","بله")))</f>
        <v>خیر</v>
      </c>
      <c r="P28" s="5" t="str" cm="1">
        <f t="array" ref="P28">IF(A28="","",IF(SUMPRODUCT(($F$2:$F$969=F28)*($I$2:$I$969=I28))=1,"خیر",IF(SUMPRODUCT(($F$2:F28=F28)*($I$2:I28=I28))=1,"بله-1","بله")))</f>
        <v>خیر</v>
      </c>
    </row>
    <row r="29" spans="1:16" ht="18.75" x14ac:dyDescent="0.25">
      <c r="A29" s="2" t="s">
        <v>1103</v>
      </c>
      <c r="B29" s="2" t="s">
        <v>1040</v>
      </c>
      <c r="C29" s="2" t="s">
        <v>1041</v>
      </c>
      <c r="D29" s="2" t="s">
        <v>105</v>
      </c>
      <c r="E29" s="2" t="s">
        <v>848</v>
      </c>
      <c r="F29" s="2" t="s">
        <v>1104</v>
      </c>
      <c r="G29" s="2" t="s">
        <v>756</v>
      </c>
      <c r="H29" s="2" t="s">
        <v>757</v>
      </c>
      <c r="I29" s="2" t="s">
        <v>1092</v>
      </c>
      <c r="J29" s="2" t="s">
        <v>1105</v>
      </c>
      <c r="K29" s="2" t="s">
        <v>442</v>
      </c>
      <c r="L29" s="3">
        <f>IF(OR(TRIM(I29)="",TRIM(K29)=""),"",IFERROR((VALUE(LEFT(TRIM(I29),4))-VALUE(LEFT(TRIM(K29),4)))*12+VALUE(MID(TRIM(I29),6,2))-VALUE(MID(TRIM(K29),6,2)),""))</f>
        <v>9</v>
      </c>
      <c r="M29" s="2" t="str">
        <f>IF(TRIM(H29)="","",IFERROR(LOOKUP(2,1/(ISNUMBER(SEARCH('منطق دسته‌بندی'!$A$2:$A$187,H29))),'منطق دسته‌بندی'!$B$2:$B$187),"سایر (نیازمند بررسی دستی)"))</f>
        <v>خرابی - لامپ/LED داخلی (تعویض)</v>
      </c>
      <c r="N29" s="2" t="s">
        <v>1102</v>
      </c>
      <c r="O29" s="2" t="str" cm="1">
        <f t="array" ref="O29">IF(A29="","",IF(SUMPRODUCT(($B$2:$B$965=B29)*($C$2:$C$965=C29)*($D$2:$D$965=D29)*($E$2:$E$965=E29)*($F$2:$F$965=F29)*($G$2:$G$965=G29)*($H$2:$H$965=H29)*($I$2:$I$965=I29)*($J$2:$J$965=J29)*($K$2:$K$965=K29)*($N$2:$N$965=N29))=1,"خیر",IF(SUMPRODUCT(($B$2:B29=B29)*($C$2:C29=C29)*($D$2:D29=D29)*($E$2:E29=E29)*($F$2:F29=F29)*($G$2:G29=G29)*($H$2:H29=H29)*($I$2:I29=I29)*($J$2:J29=J29)*($K$2:K29=K29)*($N$2:N29=N29))=1,"بله-1","بله")))</f>
        <v>خیر</v>
      </c>
      <c r="P29" s="5" t="str" cm="1">
        <f t="array" ref="P29">IF(A29="","",IF(SUMPRODUCT(($F$2:$F$969=F29)*($I$2:$I$969=I29))=1,"خیر",IF(SUMPRODUCT(($F$2:F29=F29)*($I$2:I29=I29))=1,"بله-1","بله")))</f>
        <v>خیر</v>
      </c>
    </row>
    <row r="30" spans="1:16" ht="37.5" x14ac:dyDescent="0.25">
      <c r="A30" s="2" t="s">
        <v>459</v>
      </c>
      <c r="B30" s="2" t="s">
        <v>16</v>
      </c>
      <c r="C30" s="2" t="s">
        <v>17</v>
      </c>
      <c r="D30" s="2" t="s">
        <v>105</v>
      </c>
      <c r="E30" s="2" t="s">
        <v>460</v>
      </c>
      <c r="F30" s="2" t="s">
        <v>461</v>
      </c>
      <c r="G30" s="2" t="s">
        <v>446</v>
      </c>
      <c r="H30" s="2" t="s">
        <v>462</v>
      </c>
      <c r="I30" s="2" t="s">
        <v>435</v>
      </c>
      <c r="J30" s="2" t="s">
        <v>463</v>
      </c>
      <c r="K30" s="2" t="s">
        <v>464</v>
      </c>
      <c r="L30" s="3">
        <f>IF(OR(TRIM(I30)="",TRIM(K30)=""),"",IFERROR((VALUE(LEFT(TRIM(I30),4))-VALUE(LEFT(TRIM(K30),4)))*12+VALUE(MID(TRIM(I30),6,2))-VALUE(MID(TRIM(K30),6,2)),""))</f>
        <v>3</v>
      </c>
      <c r="M30" s="2" t="str">
        <f>IF(TRIM(H30)="","",IFERROR(LOOKUP(2,1/(ISNUMBER(SEARCH('منطق دسته‌بندی'!$A$2:$A$187,H30))),'منطق دسته‌بندی'!$B$2:$B$187),"سایر (نیازمند بررسی دستی)"))</f>
        <v>قطعات تزئینی - شکستگی/کسری (تعویض)</v>
      </c>
      <c r="N30" s="2" t="s">
        <v>465</v>
      </c>
      <c r="O30" s="2" t="str" cm="1">
        <f t="array" ref="O30">IF(A30="","",IF(SUMPRODUCT(($B$2:$B$965=B30)*($C$2:$C$965=C30)*($D$2:$D$965=D30)*($E$2:$E$965=E30)*($F$2:$F$965=F30)*($G$2:$G$965=G30)*($H$2:$H$965=H30)*($I$2:$I$965=I30)*($J$2:$J$965=J30)*($K$2:$K$965=K30)*($N$2:$N$965=N30))=1,"خیر",IF(SUMPRODUCT(($B$2:B30=B30)*($C$2:C30=C30)*($D$2:D30=D30)*($E$2:E30=E30)*($F$2:F30=F30)*($G$2:G30=G30)*($H$2:H30=H30)*($I$2:I30=I30)*($J$2:J30=J30)*($K$2:K30=K30)*($N$2:N30=N30))=1,"بله-1","بله")))</f>
        <v>خیر</v>
      </c>
      <c r="P30" s="5" t="str" cm="1">
        <f t="array" ref="P30">IF(A30="","",IF(SUMPRODUCT(($F$2:$F$969=F30)*($I$2:$I$969=I30))=1,"خیر",IF(SUMPRODUCT(($F$2:F30=F30)*($I$2:I30=I30))=1,"بله-1","بله")))</f>
        <v>خیر</v>
      </c>
    </row>
    <row r="31" spans="1:16" ht="18.75" x14ac:dyDescent="0.25">
      <c r="A31" s="2" t="s">
        <v>707</v>
      </c>
      <c r="B31" s="2" t="s">
        <v>632</v>
      </c>
      <c r="C31" s="2" t="s">
        <v>633</v>
      </c>
      <c r="D31" s="2" t="s">
        <v>105</v>
      </c>
      <c r="E31" s="2" t="s">
        <v>460</v>
      </c>
      <c r="F31" s="2" t="s">
        <v>708</v>
      </c>
      <c r="G31" s="2" t="s">
        <v>375</v>
      </c>
      <c r="H31" s="2" t="s">
        <v>709</v>
      </c>
      <c r="I31" s="2" t="s">
        <v>710</v>
      </c>
      <c r="J31" s="2" t="s">
        <v>711</v>
      </c>
      <c r="K31" s="2" t="s">
        <v>364</v>
      </c>
      <c r="L31" s="3">
        <f>IF(OR(TRIM(I31)="",TRIM(K31)=""),"",IFERROR((VALUE(LEFT(TRIM(I31),4))-VALUE(LEFT(TRIM(K31),4)))*12+VALUE(MID(TRIM(I31),6,2))-VALUE(MID(TRIM(K31),6,2)),""))</f>
        <v>1</v>
      </c>
      <c r="M31" s="2" t="str">
        <f>IF(TRIM(H31)="","",IFERROR(LOOKUP(2,1/(ISNUMBER(SEARCH('منطق دسته‌بندی'!$A$2:$A$187,H31))),'منطق دسته‌بندی'!$B$2:$B$187),"سایر (نیازمند بررسی دستی)"))</f>
        <v>تنظیم ترموستات (تعمیر/تنظیم)</v>
      </c>
      <c r="N31" s="2" t="s">
        <v>379</v>
      </c>
      <c r="O31" s="2" t="str" cm="1">
        <f t="array" ref="O31">IF(A31="","",IF(SUMPRODUCT(($B$2:$B$965=B31)*($C$2:$C$965=C31)*($D$2:$D$965=D31)*($E$2:$E$965=E31)*($F$2:$F$965=F31)*($G$2:$G$965=G31)*($H$2:$H$965=H31)*($I$2:$I$965=I31)*($J$2:$J$965=J31)*($K$2:$K$965=K31)*($N$2:$N$965=N31))=1,"خیر",IF(SUMPRODUCT(($B$2:B31=B31)*($C$2:C31=C31)*($D$2:D31=D31)*($E$2:E31=E31)*($F$2:F31=F31)*($G$2:G31=G31)*($H$2:H31=H31)*($I$2:I31=I31)*($J$2:J31=J31)*($K$2:K31=K31)*($N$2:N31=N31))=1,"بله-1","بله")))</f>
        <v>خیر</v>
      </c>
      <c r="P31" s="5" t="str" cm="1">
        <f t="array" ref="P31">IF(A31="","",IF(SUMPRODUCT(($F$2:$F$969=F31)*($I$2:$I$969=I31))=1,"خیر",IF(SUMPRODUCT(($F$2:F31=F31)*($I$2:I31=I31))=1,"بله-1","بله")))</f>
        <v>خیر</v>
      </c>
    </row>
    <row r="32" spans="1:16" ht="18.75" x14ac:dyDescent="0.25">
      <c r="A32" s="2" t="s">
        <v>1201</v>
      </c>
      <c r="B32" s="2" t="s">
        <v>1040</v>
      </c>
      <c r="C32" s="2" t="s">
        <v>1041</v>
      </c>
      <c r="D32" s="2" t="s">
        <v>105</v>
      </c>
      <c r="E32" s="2" t="s">
        <v>460</v>
      </c>
      <c r="F32" s="2" t="s">
        <v>1202</v>
      </c>
      <c r="G32" s="2" t="s">
        <v>1101</v>
      </c>
      <c r="H32" s="2" t="s">
        <v>757</v>
      </c>
      <c r="I32" s="2" t="s">
        <v>1185</v>
      </c>
      <c r="J32" s="2" t="s">
        <v>1203</v>
      </c>
      <c r="K32" s="2" t="s">
        <v>230</v>
      </c>
      <c r="L32" s="3">
        <f>IF(OR(TRIM(I32)="",TRIM(K32)=""),"",IFERROR((VALUE(LEFT(TRIM(I32),4))-VALUE(LEFT(TRIM(K32),4)))*12+VALUE(MID(TRIM(I32),6,2))-VALUE(MID(TRIM(K32),6,2)),""))</f>
        <v>16</v>
      </c>
      <c r="M32" s="2" t="str">
        <f>IF(TRIM(H32)="","",IFERROR(LOOKUP(2,1/(ISNUMBER(SEARCH('منطق دسته‌بندی'!$A$2:$A$187,H32))),'منطق دسته‌بندی'!$B$2:$B$187),"سایر (نیازمند بررسی دستی)"))</f>
        <v>خرابی - لامپ/LED داخلی (تعویض)</v>
      </c>
      <c r="N32" s="2" t="s">
        <v>1102</v>
      </c>
      <c r="O32" s="2" t="str" cm="1">
        <f t="array" ref="O32">IF(A32="","",IF(SUMPRODUCT(($B$2:$B$965=B32)*($C$2:$C$965=C32)*($D$2:$D$965=D32)*($E$2:$E$965=E32)*($F$2:$F$965=F32)*($G$2:$G$965=G32)*($H$2:$H$965=H32)*($I$2:$I$965=I32)*($J$2:$J$965=J32)*($K$2:$K$965=K32)*($N$2:$N$965=N32))=1,"خیر",IF(SUMPRODUCT(($B$2:B32=B32)*($C$2:C32=C32)*($D$2:D32=D32)*($E$2:E32=E32)*($F$2:F32=F32)*($G$2:G32=G32)*($H$2:H32=H32)*($I$2:I32=I32)*($J$2:J32=J32)*($K$2:K32=K32)*($N$2:N32=N32))=1,"بله-1","بله")))</f>
        <v>خیر</v>
      </c>
      <c r="P32" s="5" t="str" cm="1">
        <f t="array" ref="P32">IF(A32="","",IF(SUMPRODUCT(($F$2:$F$969=F32)*($I$2:$I$969=I32))=1,"خیر",IF(SUMPRODUCT(($F$2:F32=F32)*($I$2:I32=I32))=1,"بله-1","بله")))</f>
        <v>خیر</v>
      </c>
    </row>
    <row r="33" spans="1:16" ht="18.75" x14ac:dyDescent="0.25">
      <c r="A33" s="2" t="s">
        <v>755</v>
      </c>
      <c r="B33" s="2" t="s">
        <v>632</v>
      </c>
      <c r="C33" s="2" t="s">
        <v>633</v>
      </c>
      <c r="D33" s="2" t="s">
        <v>105</v>
      </c>
      <c r="E33" s="2" t="s">
        <v>373</v>
      </c>
      <c r="F33" s="2" t="s">
        <v>596</v>
      </c>
      <c r="G33" s="2" t="s">
        <v>756</v>
      </c>
      <c r="H33" s="2" t="s">
        <v>757</v>
      </c>
      <c r="I33" s="2" t="s">
        <v>752</v>
      </c>
      <c r="J33" s="2" t="s">
        <v>599</v>
      </c>
      <c r="K33" s="2" t="s">
        <v>600</v>
      </c>
      <c r="L33" s="3">
        <f>IF(OR(TRIM(I33)="",TRIM(K33)=""),"",IFERROR((VALUE(LEFT(TRIM(I33),4))-VALUE(LEFT(TRIM(K33),4)))*12+VALUE(MID(TRIM(I33),6,2))-VALUE(MID(TRIM(K33),6,2)),""))</f>
        <v>6</v>
      </c>
      <c r="M33" s="2" t="str">
        <f>IF(TRIM(H33)="","",IFERROR(LOOKUP(2,1/(ISNUMBER(SEARCH('منطق دسته‌بندی'!$A$2:$A$187,H33))),'منطق دسته‌بندی'!$B$2:$B$187),"سایر (نیازمند بررسی دستی)"))</f>
        <v>خرابی - لامپ/LED داخلی (تعویض)</v>
      </c>
      <c r="N33" s="2" t="s">
        <v>601</v>
      </c>
      <c r="O33" s="2" t="str" cm="1">
        <f t="array" ref="O33">IF(A33="","",IF(SUMPRODUCT(($B$2:$B$965=B33)*($C$2:$C$965=C33)*($D$2:$D$965=D33)*($E$2:$E$965=E33)*($F$2:$F$965=F33)*($G$2:$G$965=G33)*($H$2:$H$965=H33)*($I$2:$I$965=I33)*($J$2:$J$965=J33)*($K$2:$K$965=K33)*($N$2:$N$965=N33))=1,"خیر",IF(SUMPRODUCT(($B$2:B33=B33)*($C$2:C33=C33)*($D$2:D33=D33)*($E$2:E33=E33)*($F$2:F33=F33)*($G$2:G33=G33)*($H$2:H33=H33)*($I$2:I33=I33)*($J$2:J33=J33)*($K$2:K33=K33)*($N$2:N33=N33))=1,"بله-1","بله")))</f>
        <v>خیر</v>
      </c>
      <c r="P33" s="5" t="str" cm="1">
        <f t="array" ref="P33">IF(A33="","",IF(SUMPRODUCT(($F$2:$F$969=F33)*($I$2:$I$969=I33))=1,"خیر",IF(SUMPRODUCT(($F$2:F33=F33)*($I$2:I33=I33))=1,"بله-1","بله")))</f>
        <v>خیر</v>
      </c>
    </row>
    <row r="34" spans="1:16" ht="37.5" x14ac:dyDescent="0.25">
      <c r="A34" s="2" t="s">
        <v>938</v>
      </c>
      <c r="B34" s="2" t="s">
        <v>881</v>
      </c>
      <c r="C34" s="2" t="s">
        <v>882</v>
      </c>
      <c r="D34" s="2" t="s">
        <v>105</v>
      </c>
      <c r="E34" s="2" t="s">
        <v>373</v>
      </c>
      <c r="F34" s="2" t="s">
        <v>596</v>
      </c>
      <c r="G34" s="2" t="s">
        <v>939</v>
      </c>
      <c r="H34" s="2" t="s">
        <v>598</v>
      </c>
      <c r="I34" s="2" t="s">
        <v>937</v>
      </c>
      <c r="J34" s="2" t="s">
        <v>599</v>
      </c>
      <c r="K34" s="2" t="s">
        <v>600</v>
      </c>
      <c r="L34" s="3">
        <f>IF(OR(TRIM(I34)="",TRIM(K34)=""),"",IFERROR((VALUE(LEFT(TRIM(I34),4))-VALUE(LEFT(TRIM(K34),4)))*12+VALUE(MID(TRIM(I34),6,2))-VALUE(MID(TRIM(K34),6,2)),""))</f>
        <v>7</v>
      </c>
      <c r="M34" s="2" t="str">
        <f>IF(TRIM(H34)="","",IFERROR(LOOKUP(2,1/(ISNUMBER(SEARCH('منطق دسته‌بندی'!$A$2:$A$187,H34))),'منطق دسته‌بندی'!$B$2:$B$187),"سایر (نیازمند بررسی دستی)"))</f>
        <v>خرابی - لامپ/LED داخلی (تعویض)</v>
      </c>
      <c r="N34" s="2" t="s">
        <v>601</v>
      </c>
      <c r="O34" s="2" t="str" cm="1">
        <f t="array" ref="O34">IF(A34="","",IF(SUMPRODUCT(($B$2:$B$965=B34)*($C$2:$C$965=C34)*($D$2:$D$965=D34)*($E$2:$E$965=E34)*($F$2:$F$965=F34)*($G$2:$G$965=G34)*($H$2:$H$965=H34)*($I$2:$I$965=I34)*($J$2:$J$965=J34)*($K$2:$K$965=K34)*($N$2:$N$965=N34))=1,"خیر",IF(SUMPRODUCT(($B$2:B34=B34)*($C$2:C34=C34)*($D$2:D34=D34)*($E$2:E34=E34)*($F$2:F34=F34)*($G$2:G34=G34)*($H$2:H34=H34)*($I$2:I34=I34)*($J$2:J34=J34)*($K$2:K34=K34)*($N$2:N34=N34))=1,"بله-1","بله")))</f>
        <v>خیر</v>
      </c>
      <c r="P34" s="5" t="str" cm="1">
        <f t="array" ref="P34">IF(A34="","",IF(SUMPRODUCT(($F$2:$F$969=F34)*($I$2:$I$969=I34))=1,"خیر",IF(SUMPRODUCT(($F$2:F34=F34)*($I$2:I34=I34))=1,"بله-1","بله")))</f>
        <v>خیر</v>
      </c>
    </row>
    <row r="35" spans="1:16" ht="18.75" x14ac:dyDescent="0.25">
      <c r="A35" s="2" t="s">
        <v>595</v>
      </c>
      <c r="B35" s="2" t="s">
        <v>16</v>
      </c>
      <c r="C35" s="2" t="s">
        <v>17</v>
      </c>
      <c r="D35" s="2" t="s">
        <v>105</v>
      </c>
      <c r="E35" s="2" t="s">
        <v>373</v>
      </c>
      <c r="F35" s="2" t="s">
        <v>596</v>
      </c>
      <c r="G35" s="2" t="s">
        <v>597</v>
      </c>
      <c r="H35" s="2" t="s">
        <v>598</v>
      </c>
      <c r="I35" s="2" t="s">
        <v>580</v>
      </c>
      <c r="J35" s="2" t="s">
        <v>599</v>
      </c>
      <c r="K35" s="2" t="s">
        <v>600</v>
      </c>
      <c r="L35" s="3">
        <f>IF(OR(TRIM(I35)="",TRIM(K35)=""),"",IFERROR((VALUE(LEFT(TRIM(I35),4))-VALUE(LEFT(TRIM(K35),4)))*12+VALUE(MID(TRIM(I35),6,2))-VALUE(MID(TRIM(K35),6,2)),""))</f>
        <v>5</v>
      </c>
      <c r="M35" s="2" t="str">
        <f>IF(TRIM(H35)="","",IFERROR(LOOKUP(2,1/(ISNUMBER(SEARCH('منطق دسته‌بندی'!$A$2:$A$187,H35))),'منطق دسته‌بندی'!$B$2:$B$187),"سایر (نیازمند بررسی دستی)"))</f>
        <v>خرابی - لامپ/LED داخلی (تعویض)</v>
      </c>
      <c r="N35" s="2" t="s">
        <v>601</v>
      </c>
      <c r="O35" s="2" t="str" cm="1">
        <f t="array" ref="O35">IF(A35="","",IF(SUMPRODUCT(($B$2:$B$965=B35)*($C$2:$C$965=C35)*($D$2:$D$965=D35)*($E$2:$E$965=E35)*($F$2:$F$965=F35)*($G$2:$G$965=G35)*($H$2:$H$965=H35)*($I$2:$I$965=I35)*($J$2:$J$965=J35)*($K$2:$K$965=K35)*($N$2:$N$965=N35))=1,"خیر",IF(SUMPRODUCT(($B$2:B35=B35)*($C$2:C35=C35)*($D$2:D35=D35)*($E$2:E35=E35)*($F$2:F35=F35)*($G$2:G35=G35)*($H$2:H35=H35)*($I$2:I35=I35)*($J$2:J35=J35)*($K$2:K35=K35)*($N$2:N35=N35))=1,"بله-1","بله")))</f>
        <v>خیر</v>
      </c>
      <c r="P35" s="5" t="str" cm="1">
        <f t="array" ref="P35">IF(A35="","",IF(SUMPRODUCT(($F$2:$F$969=F35)*($I$2:$I$969=I35))=1,"خیر",IF(SUMPRODUCT(($F$2:F35=F35)*($I$2:I35=I35))=1,"بله-1","بله")))</f>
        <v>خیر</v>
      </c>
    </row>
    <row r="36" spans="1:16" ht="18.75" x14ac:dyDescent="0.25">
      <c r="A36" s="2">
        <v>510024651</v>
      </c>
      <c r="B36" s="2" t="s">
        <v>1040</v>
      </c>
      <c r="C36" s="2" t="s">
        <v>1041</v>
      </c>
      <c r="D36" s="2" t="s">
        <v>105</v>
      </c>
      <c r="E36" s="2" t="s">
        <v>373</v>
      </c>
      <c r="F36" s="2" t="s">
        <v>1543</v>
      </c>
      <c r="G36" s="2" t="s">
        <v>1544</v>
      </c>
      <c r="H36" s="2" t="s">
        <v>757</v>
      </c>
      <c r="I36" s="2" t="s">
        <v>1434</v>
      </c>
      <c r="J36" s="2" t="s">
        <v>1545</v>
      </c>
      <c r="K36" s="2" t="s">
        <v>586</v>
      </c>
      <c r="L36" s="3">
        <f>IF(OR(TRIM(I36)="",TRIM(K36)=""),"",IFERROR((VALUE(LEFT(TRIM(I36),4))-VALUE(LEFT(TRIM(K36),4)))*12+VALUE(MID(TRIM(I36),6,2))-VALUE(MID(TRIM(K36),6,2)),""))</f>
        <v>11</v>
      </c>
      <c r="M36" s="2" t="str">
        <f>IF(TRIM(H36)="","",IFERROR(LOOKUP(2,1/(ISNUMBER(SEARCH('منطق دسته‌بندی'!$A$2:$A$187,H36))),'منطق دسته‌بندی'!$B$2:$B$187),"سایر (نیازمند بررسی دستی)"))</f>
        <v>خرابی - لامپ/LED داخلی (تعویض)</v>
      </c>
      <c r="N36" s="2" t="s">
        <v>1102</v>
      </c>
      <c r="O36" s="2" t="str" cm="1">
        <f t="array" ref="O36">IF(A36="","",IF(SUMPRODUCT(($B$2:$B$965=B36)*($C$2:$C$965=C36)*($D$2:$D$965=D36)*($E$2:$E$965=E36)*($F$2:$F$965=F36)*($G$2:$G$965=G36)*($H$2:$H$965=H36)*($I$2:$I$965=I36)*($J$2:$J$965=J36)*($K$2:$K$965=K36)*($N$2:$N$965=N36))=1,"خیر",IF(SUMPRODUCT(($B$2:B36=B36)*($C$2:C36=C36)*($D$2:D36=D36)*($E$2:E36=E36)*($F$2:F36=F36)*($G$2:G36=G36)*($H$2:H36=H36)*($I$2:I36=I36)*($J$2:J36=J36)*($K$2:K36=K36)*($N$2:N36=N36))=1,"بله-1","بله")))</f>
        <v>خیر</v>
      </c>
      <c r="P36" s="5" t="str" cm="1">
        <f t="array" ref="P36">IF(A36="","",IF(SUMPRODUCT(($F$2:$F$969=F36)*($I$2:$I$969=I36))=1,"خیر",IF(SUMPRODUCT(($F$2:F36=F36)*($I$2:I36=I36))=1,"بله-1","بله")))</f>
        <v>خیر</v>
      </c>
    </row>
    <row r="37" spans="1:16" ht="18.75" x14ac:dyDescent="0.25">
      <c r="A37" s="2" t="s">
        <v>1257</v>
      </c>
      <c r="B37" s="2" t="s">
        <v>1040</v>
      </c>
      <c r="C37" s="2" t="s">
        <v>1041</v>
      </c>
      <c r="D37" s="2" t="s">
        <v>105</v>
      </c>
      <c r="E37" s="2" t="s">
        <v>373</v>
      </c>
      <c r="F37" s="2" t="s">
        <v>1258</v>
      </c>
      <c r="G37" s="2" t="s">
        <v>375</v>
      </c>
      <c r="H37" s="2" t="s">
        <v>1259</v>
      </c>
      <c r="I37" s="2" t="s">
        <v>1260</v>
      </c>
      <c r="J37" s="2" t="s">
        <v>145</v>
      </c>
      <c r="K37" s="2" t="s">
        <v>443</v>
      </c>
      <c r="L37" s="3">
        <f>IF(OR(TRIM(I37)="",TRIM(K37)=""),"",IFERROR((VALUE(LEFT(TRIM(I37),4))-VALUE(LEFT(TRIM(K37),4)))*12+VALUE(MID(TRIM(I37),6,2))-VALUE(MID(TRIM(K37),6,2)),""))</f>
        <v>8</v>
      </c>
      <c r="M37" s="2" t="str">
        <f>IF(TRIM(H37)="","",IFERROR(LOOKUP(2,1/(ISNUMBER(SEARCH('منطق دسته‌بندی'!$A$2:$A$187,H37))),'منطق دسته‌بندی'!$B$2:$B$187),"سایر (نیازمند بررسی دستی)"))</f>
        <v>خرابی - کمپرسور (تعویض)</v>
      </c>
      <c r="N37" s="2" t="s">
        <v>1261</v>
      </c>
      <c r="O37" s="2" t="str" cm="1">
        <f t="array" ref="O37">IF(A37="","",IF(SUMPRODUCT(($B$2:$B$965=B37)*($C$2:$C$965=C37)*($D$2:$D$965=D37)*($E$2:$E$965=E37)*($F$2:$F$965=F37)*($G$2:$G$965=G37)*($H$2:$H$965=H37)*($I$2:$I$965=I37)*($J$2:$J$965=J37)*($K$2:$K$965=K37)*($N$2:$N$965=N37))=1,"خیر",IF(SUMPRODUCT(($B$2:B37=B37)*($C$2:C37=C37)*($D$2:D37=D37)*($E$2:E37=E37)*($F$2:F37=F37)*($G$2:G37=G37)*($H$2:H37=H37)*($I$2:I37=I37)*($J$2:J37=J37)*($K$2:K37=K37)*($N$2:N37=N37))=1,"بله-1","بله")))</f>
        <v>خیر</v>
      </c>
      <c r="P37" s="5" t="str" cm="1">
        <f t="array" ref="P37">IF(A37="","",IF(SUMPRODUCT(($F$2:$F$969=F37)*($I$2:$I$969=I37))=1,"خیر",IF(SUMPRODUCT(($F$2:F37=F37)*($I$2:I37=I37))=1,"بله-1","بله")))</f>
        <v>خیر</v>
      </c>
    </row>
    <row r="38" spans="1:16" ht="18.75" x14ac:dyDescent="0.25">
      <c r="A38" s="2">
        <v>210023908</v>
      </c>
      <c r="B38" s="2" t="s">
        <v>1950</v>
      </c>
      <c r="C38" s="2" t="s">
        <v>1951</v>
      </c>
      <c r="D38" s="2" t="s">
        <v>105</v>
      </c>
      <c r="E38" s="2" t="s">
        <v>373</v>
      </c>
      <c r="F38" s="2" t="s">
        <v>1541</v>
      </c>
      <c r="G38" s="2" t="s">
        <v>1445</v>
      </c>
      <c r="H38" s="2" t="s">
        <v>1296</v>
      </c>
      <c r="I38" s="2" t="s">
        <v>1479</v>
      </c>
      <c r="J38" s="2" t="s">
        <v>1306</v>
      </c>
      <c r="K38" s="2" t="s">
        <v>1542</v>
      </c>
      <c r="L38" s="3">
        <f>IF(OR(TRIM(I38)="",TRIM(K38)=""),"",IFERROR((VALUE(LEFT(TRIM(I38),4))-VALUE(LEFT(TRIM(K38),4)))*12+VALUE(MID(TRIM(I38),6,2))-VALUE(MID(TRIM(K38),6,2)),""))</f>
        <v>2</v>
      </c>
      <c r="M38" s="2" t="str">
        <f>IF(TRIM(H38)="","",IFERROR(LOOKUP(2,1/(ISNUMBER(SEARCH('منطق دسته‌بندی'!$A$2:$A$187,H38))),'منطق دسته‌بندی'!$B$2:$B$187),"سایر (نیازمند بررسی دستی)"))</f>
        <v>کلید فشاری (تعویض/بازبینی)</v>
      </c>
      <c r="N38" s="2" t="s">
        <v>1534</v>
      </c>
      <c r="O38" s="2" t="str" cm="1">
        <f t="array" ref="O38">IF(A38="","",IF(SUMPRODUCT(($B$2:$B$965=B38)*($C$2:$C$965=C38)*($D$2:$D$965=D38)*($E$2:$E$965=E38)*($F$2:$F$965=F38)*($G$2:$G$965=G38)*($H$2:$H$965=H38)*($I$2:$I$965=I38)*($J$2:$J$965=J38)*($K$2:$K$965=K38)*($N$2:$N$965=N38))=1,"خیر",IF(SUMPRODUCT(($B$2:B38=B38)*($C$2:C38=C38)*($D$2:D38=D38)*($E$2:E38=E38)*($F$2:F38=F38)*($G$2:G38=G38)*($H$2:H38=H38)*($I$2:I38=I38)*($J$2:J38=J38)*($K$2:K38=K38)*($N$2:N38=N38))=1,"بله-1","بله")))</f>
        <v>خیر</v>
      </c>
      <c r="P38" s="5" t="str" cm="1">
        <f t="array" ref="P38">IF(A38="","",IF(SUMPRODUCT(($F$2:$F$969=F38)*($I$2:$I$969=I38))=1,"خیر",IF(SUMPRODUCT(($F$2:F38=F38)*($I$2:I38=I38))=1,"بله-1","بله")))</f>
        <v>خیر</v>
      </c>
    </row>
    <row r="39" spans="1:16" ht="37.5" x14ac:dyDescent="0.25">
      <c r="A39" s="2" t="s">
        <v>684</v>
      </c>
      <c r="B39" s="2" t="s">
        <v>632</v>
      </c>
      <c r="C39" s="2" t="s">
        <v>633</v>
      </c>
      <c r="D39" s="2" t="s">
        <v>105</v>
      </c>
      <c r="E39" s="2" t="s">
        <v>373</v>
      </c>
      <c r="F39" s="2" t="s">
        <v>374</v>
      </c>
      <c r="G39" s="2" t="s">
        <v>685</v>
      </c>
      <c r="H39" s="2" t="s">
        <v>686</v>
      </c>
      <c r="I39" s="2" t="s">
        <v>687</v>
      </c>
      <c r="J39" s="2" t="s">
        <v>377</v>
      </c>
      <c r="K39" s="2" t="s">
        <v>378</v>
      </c>
      <c r="L39" s="3">
        <f>IF(OR(TRIM(I39)="",TRIM(K39)=""),"",IFERROR((VALUE(LEFT(TRIM(I39),4))-VALUE(LEFT(TRIM(K39),4)))*12+VALUE(MID(TRIM(I39),6,2))-VALUE(MID(TRIM(K39),6,2)),""))</f>
        <v>9</v>
      </c>
      <c r="M39" s="2" t="str">
        <f>IF(TRIM(H39)="","",IFERROR(LOOKUP(2,1/(ISNUMBER(SEARCH('منطق دسته‌بندی'!$A$2:$A$187,H39))),'منطق دسته‌بندی'!$B$2:$B$187),"سایر (نیازمند بررسی دستی)"))</f>
        <v>نشتی آب - محل نامشخص (نیازمند بازدید)</v>
      </c>
      <c r="N39" s="2" t="s">
        <v>24</v>
      </c>
      <c r="O39" s="2" t="str" cm="1">
        <f t="array" ref="O39">IF(A39="","",IF(SUMPRODUCT(($B$2:$B$965=B39)*($C$2:$C$965=C39)*($D$2:$D$965=D39)*($E$2:$E$965=E39)*($F$2:$F$965=F39)*($G$2:$G$965=G39)*($H$2:$H$965=H39)*($I$2:$I$965=I39)*($J$2:$J$965=J39)*($K$2:$K$965=K39)*($N$2:$N$965=N39))=1,"خیر",IF(SUMPRODUCT(($B$2:B39=B39)*($C$2:C39=C39)*($D$2:D39=D39)*($E$2:E39=E39)*($F$2:F39=F39)*($G$2:G39=G39)*($H$2:H39=H39)*($I$2:I39=I39)*($J$2:J39=J39)*($K$2:K39=K39)*($N$2:N39=N39))=1,"بله-1","بله")))</f>
        <v>خیر</v>
      </c>
      <c r="P39" s="5" t="str" cm="1">
        <f t="array" ref="P39">IF(A39="","",IF(SUMPRODUCT(($F$2:$F$969=F39)*($I$2:$I$969=I39))=1,"خیر",IF(SUMPRODUCT(($F$2:F39=F39)*($I$2:I39=I39))=1,"بله-1","بله")))</f>
        <v>خیر</v>
      </c>
    </row>
    <row r="40" spans="1:16" s="12" customFormat="1" ht="18.75" x14ac:dyDescent="0.25">
      <c r="A40" s="9" t="s">
        <v>372</v>
      </c>
      <c r="B40" s="9" t="s">
        <v>16</v>
      </c>
      <c r="C40" s="9" t="s">
        <v>17</v>
      </c>
      <c r="D40" s="9" t="s">
        <v>105</v>
      </c>
      <c r="E40" s="9" t="s">
        <v>373</v>
      </c>
      <c r="F40" s="9" t="s">
        <v>374</v>
      </c>
      <c r="G40" s="9" t="s">
        <v>375</v>
      </c>
      <c r="H40" s="9" t="s">
        <v>376</v>
      </c>
      <c r="I40" s="9" t="s">
        <v>364</v>
      </c>
      <c r="J40" s="9" t="s">
        <v>377</v>
      </c>
      <c r="K40" s="9" t="s">
        <v>378</v>
      </c>
      <c r="L40" s="10">
        <f>IF(OR(TRIM(I40)="",TRIM(K40)=""),"",IFERROR((VALUE(LEFT(TRIM(I40),4))-VALUE(LEFT(TRIM(K40),4)))*12+VALUE(MID(TRIM(I40),6,2))-VALUE(MID(TRIM(K40),6,2)),""))</f>
        <v>8</v>
      </c>
      <c r="M40" s="9" t="str">
        <f>IF(TRIM(H40)="","",IFERROR(LOOKUP(2,1/(ISNUMBER(SEARCH('منطق دسته‌بندی'!$A$2:$A$187,H40))),'منطق دسته‌بندی'!$B$2:$B$187),"سایر (نیازمند بررسی دستی)"))</f>
        <v>خرابی - ترموستات/سنسور دما (تعویض)</v>
      </c>
      <c r="N40" s="9" t="s">
        <v>379</v>
      </c>
      <c r="O40" s="9" t="str" cm="1">
        <f t="array" ref="O40">IF(A40="","",IF(SUMPRODUCT(($B$2:$B$965=B40)*($C$2:$C$965=C40)*($D$2:$D$965=D40)*($E$2:$E$965=E40)*($F$2:$F$965=F40)*($G$2:$G$965=G40)*($H$2:$H$965=H40)*($I$2:$I$965=I40)*($J$2:$J$965=J40)*($K$2:$K$965=K40)*($N$2:$N$965=N40))=1,"خیر",IF(SUMPRODUCT(($B$2:B40=B40)*($C$2:C40=C40)*($D$2:D40=D40)*($E$2:E40=E40)*($F$2:F40=F40)*($G$2:G40=G40)*($H$2:H40=H40)*($I$2:I40=I40)*($J$2:J40=J40)*($K$2:K40=K40)*($N$2:N40=N40))=1,"بله-1","بله")))</f>
        <v>خیر</v>
      </c>
      <c r="P40" s="11" t="str" cm="1">
        <f t="array" ref="P40">IF(A40="","",IF(SUMPRODUCT(($F$2:$F$969=F40)*($I$2:$I$969=I40))=1,"خیر",IF(SUMPRODUCT(($F$2:F40=F40)*($I$2:I40=I40))=1,"بله-1","بله")))</f>
        <v>خیر</v>
      </c>
    </row>
    <row r="41" spans="1:16" ht="18.75" x14ac:dyDescent="0.25">
      <c r="A41" s="2" t="s">
        <v>1228</v>
      </c>
      <c r="B41" s="2" t="s">
        <v>1040</v>
      </c>
      <c r="C41" s="2" t="s">
        <v>1041</v>
      </c>
      <c r="D41" s="2" t="s">
        <v>105</v>
      </c>
      <c r="E41" s="15" t="s">
        <v>320</v>
      </c>
      <c r="F41" s="2" t="s">
        <v>1229</v>
      </c>
      <c r="G41" s="2" t="s">
        <v>100</v>
      </c>
      <c r="H41" s="2" t="s">
        <v>405</v>
      </c>
      <c r="I41" s="2" t="s">
        <v>1220</v>
      </c>
      <c r="J41" s="2" t="s">
        <v>418</v>
      </c>
      <c r="K41" s="2"/>
      <c r="L41" s="3" t="str">
        <f>IF(OR(TRIM(I41)="",TRIM(K41)=""),"",IFERROR((VALUE(LEFT(TRIM(I41),4))-VALUE(LEFT(TRIM(K41),4)))*12+VALUE(MID(TRIM(I41),6,2))-VALUE(MID(TRIM(K41),6,2)),""))</f>
        <v/>
      </c>
      <c r="M41" s="2" t="str">
        <f>IF(TRIM(H41)="","",IFERROR(LOOKUP(2,1/(ISNUMBER(SEARCH('منطق دسته‌بندی'!$A$2:$A$187,H41))),'منطق دسته‌بندی'!$B$2:$B$187),"سایر (نیازمند بررسی دستی)"))</f>
        <v>خرابی - ترموستات/سنسور دما (تعویض)</v>
      </c>
      <c r="N41" s="2" t="s">
        <v>1230</v>
      </c>
      <c r="O41" s="2" t="str" cm="1">
        <f t="array" ref="O41">IF(A41="","",IF(SUMPRODUCT(($B$2:$B$965=B41)*($C$2:$C$965=C41)*($D$2:$D$965=D41)*($E$2:$E$965=E41)*($F$2:$F$965=F41)*($G$2:$G$965=G41)*($H$2:$H$965=H41)*($I$2:$I$965=I41)*($J$2:$J$965=J41)*($K$2:$K$965=K41)*($N$2:$N$965=N41))=1,"خیر",IF(SUMPRODUCT(($B$2:B41=B41)*($C$2:C41=C41)*($D$2:D41=D41)*($E$2:E41=E41)*($F$2:F41=F41)*($G$2:G41=G41)*($H$2:H41=H41)*($I$2:I41=I41)*($J$2:J41=J41)*($K$2:K41=K41)*($N$2:N41=N41))=1,"بله-1","بله")))</f>
        <v>خیر</v>
      </c>
      <c r="P41" s="5" t="str" cm="1">
        <f t="array" ref="P41">IF(A41="","",IF(SUMPRODUCT(($F$2:$F$969=F41)*($I$2:$I$969=I41))=1,"خیر",IF(SUMPRODUCT(($F$2:F41=F41)*($I$2:I41=I41))=1,"بله-1","بله")))</f>
        <v>خیر</v>
      </c>
    </row>
    <row r="42" spans="1:16" ht="18.75" x14ac:dyDescent="0.25">
      <c r="A42" s="2" t="s">
        <v>319</v>
      </c>
      <c r="B42" s="2" t="s">
        <v>16</v>
      </c>
      <c r="C42" s="2" t="s">
        <v>17</v>
      </c>
      <c r="D42" s="2" t="s">
        <v>105</v>
      </c>
      <c r="E42" s="2" t="s">
        <v>320</v>
      </c>
      <c r="F42" s="2" t="s">
        <v>321</v>
      </c>
      <c r="G42" s="2" t="s">
        <v>322</v>
      </c>
      <c r="H42" s="2" t="s">
        <v>323</v>
      </c>
      <c r="I42" s="2" t="s">
        <v>309</v>
      </c>
      <c r="J42" s="2" t="s">
        <v>324</v>
      </c>
      <c r="K42" s="2" t="s">
        <v>324</v>
      </c>
      <c r="L42" s="3">
        <f>IF(OR(TRIM(I42)="",TRIM(K42)=""),"",IFERROR((VALUE(LEFT(TRIM(I42),4))-VALUE(LEFT(TRIM(K42),4)))*12+VALUE(MID(TRIM(I42),6,2))-VALUE(MID(TRIM(K42),6,2)),""))</f>
        <v>15</v>
      </c>
      <c r="M42" s="2" t="str">
        <f>IF(TRIM(H42)="","",IFERROR(LOOKUP(2,1/(ISNUMBER(SEARCH('منطق دسته‌بندی'!$A$2:$A$187,H42))),'منطق دسته‌بندی'!$B$2:$B$187),"سایر (نیازمند بررسی دستی)"))</f>
        <v>بدنه/درب - ایراد ظاهری (بازبینی)</v>
      </c>
      <c r="N42" s="2" t="s">
        <v>24</v>
      </c>
      <c r="O42" s="2" t="str" cm="1">
        <f t="array" ref="O42">IF(A42="","",IF(SUMPRODUCT(($B$2:$B$965=B42)*($C$2:$C$965=C42)*($D$2:$D$965=D42)*($E$2:$E$965=E42)*($F$2:$F$965=F42)*($G$2:$G$965=G42)*($H$2:$H$965=H42)*($I$2:$I$965=I42)*($J$2:$J$965=J42)*($K$2:$K$965=K42)*($N$2:$N$965=N42))=1,"خیر",IF(SUMPRODUCT(($B$2:B42=B42)*($C$2:C42=C42)*($D$2:D42=D42)*($E$2:E42=E42)*($F$2:F42=F42)*($G$2:G42=G42)*($H$2:H42=H42)*($I$2:I42=I42)*($J$2:J42=J42)*($K$2:K42=K42)*($N$2:N42=N42))=1,"بله-1","بله")))</f>
        <v>خیر</v>
      </c>
      <c r="P42" s="5" t="str" cm="1">
        <f t="array" ref="P42">IF(A42="","",IF(SUMPRODUCT(($F$2:$F$969=F42)*($I$2:$I$969=I42))=1,"خیر",IF(SUMPRODUCT(($F$2:F42=F42)*($I$2:I42=I42))=1,"بله-1","بله")))</f>
        <v>خیر</v>
      </c>
    </row>
    <row r="43" spans="1:16" ht="18.75" x14ac:dyDescent="0.25">
      <c r="A43" s="2" t="s">
        <v>904</v>
      </c>
      <c r="B43" s="2" t="s">
        <v>881</v>
      </c>
      <c r="C43" s="2" t="s">
        <v>882</v>
      </c>
      <c r="D43" s="2" t="s">
        <v>105</v>
      </c>
      <c r="E43" s="2" t="s">
        <v>320</v>
      </c>
      <c r="F43" s="2" t="s">
        <v>905</v>
      </c>
      <c r="G43" s="2" t="s">
        <v>756</v>
      </c>
      <c r="H43" s="2" t="s">
        <v>757</v>
      </c>
      <c r="I43" s="2" t="s">
        <v>903</v>
      </c>
      <c r="J43" s="2" t="s">
        <v>463</v>
      </c>
      <c r="K43" s="2" t="s">
        <v>298</v>
      </c>
      <c r="L43" s="3">
        <f>IF(OR(TRIM(I43)="",TRIM(K43)=""),"",IFERROR((VALUE(LEFT(TRIM(I43),4))-VALUE(LEFT(TRIM(K43),4)))*12+VALUE(MID(TRIM(I43),6,2))-VALUE(MID(TRIM(K43),6,2)),""))</f>
        <v>3</v>
      </c>
      <c r="M43" s="2" t="str">
        <f>IF(TRIM(H43)="","",IFERROR(LOOKUP(2,1/(ISNUMBER(SEARCH('منطق دسته‌بندی'!$A$2:$A$187,H43))),'منطق دسته‌بندی'!$B$2:$B$187),"سایر (نیازمند بررسی دستی)"))</f>
        <v>خرابی - لامپ/LED داخلی (تعویض)</v>
      </c>
      <c r="N43" s="2" t="s">
        <v>601</v>
      </c>
      <c r="O43" s="2" t="str" cm="1">
        <f t="array" ref="O43">IF(A43="","",IF(SUMPRODUCT(($B$2:$B$965=B43)*($C$2:$C$965=C43)*($D$2:$D$965=D43)*($E$2:$E$965=E43)*($F$2:$F$965=F43)*($G$2:$G$965=G43)*($H$2:$H$965=H43)*($I$2:$I$965=I43)*($J$2:$J$965=J43)*($K$2:$K$965=K43)*($N$2:$N$965=N43))=1,"خیر",IF(SUMPRODUCT(($B$2:B43=B43)*($C$2:C43=C43)*($D$2:D43=D43)*($E$2:E43=E43)*($F$2:F43=F43)*($G$2:G43=G43)*($H$2:H43=H43)*($I$2:I43=I43)*($J$2:J43=J43)*($K$2:K43=K43)*($N$2:N43=N43))=1,"بله-1","بله")))</f>
        <v>خیر</v>
      </c>
      <c r="P43" s="5" t="str" cm="1">
        <f t="array" ref="P43">IF(A43="","",IF(SUMPRODUCT(($F$2:$F$969=F43)*($I$2:$I$969=I43))=1,"خیر",IF(SUMPRODUCT(($F$2:F43=F43)*($I$2:I43=I43))=1,"بله-1","بله")))</f>
        <v>خیر</v>
      </c>
    </row>
    <row r="44" spans="1:16" ht="18.75" x14ac:dyDescent="0.25">
      <c r="A44" s="2" t="s">
        <v>121</v>
      </c>
      <c r="B44" s="2" t="s">
        <v>16</v>
      </c>
      <c r="C44" s="2" t="s">
        <v>17</v>
      </c>
      <c r="D44" s="2" t="s">
        <v>122</v>
      </c>
      <c r="E44" s="2" t="s">
        <v>123</v>
      </c>
      <c r="F44" s="2" t="s">
        <v>124</v>
      </c>
      <c r="G44" s="2" t="s">
        <v>125</v>
      </c>
      <c r="H44" s="2" t="s">
        <v>126</v>
      </c>
      <c r="I44" s="2" t="s">
        <v>47</v>
      </c>
      <c r="J44" s="2" t="s">
        <v>127</v>
      </c>
      <c r="K44" s="2" t="s">
        <v>128</v>
      </c>
      <c r="L44" s="3">
        <f>IF(OR(TRIM(I44)="",TRIM(K44)=""),"",IFERROR((VALUE(LEFT(TRIM(I44),4))-VALUE(LEFT(TRIM(K44),4)))*12+VALUE(MID(TRIM(I44),6,2))-VALUE(MID(TRIM(K44),6,2)),""))</f>
        <v>8</v>
      </c>
      <c r="M44" s="2" t="str">
        <f>IF(TRIM(H44)="","",IFERROR(LOOKUP(2,1/(ISNUMBER(SEARCH('منطق دسته‌بندی'!$A$2:$A$187,H44))),'منطق دسته‌بندی'!$B$2:$B$187),"سایر (نیازمند بررسی دستی)"))</f>
        <v>غیرگارانتی/بدون قطعه</v>
      </c>
      <c r="N44" s="2" t="s">
        <v>24</v>
      </c>
      <c r="O44" s="2" t="str" cm="1">
        <f t="array" ref="O44">IF(A44="","",IF(SUMPRODUCT(($B$2:$B$965=B44)*($C$2:$C$965=C44)*($D$2:$D$965=D44)*($E$2:$E$965=E44)*($F$2:$F$965=F44)*($G$2:$G$965=G44)*($H$2:$H$965=H44)*($I$2:$I$965=I44)*($J$2:$J$965=J44)*($K$2:$K$965=K44)*($N$2:$N$965=N44))=1,"خیر",IF(SUMPRODUCT(($B$2:B44=B44)*($C$2:C44=C44)*($D$2:D44=D44)*($E$2:E44=E44)*($F$2:F44=F44)*($G$2:G44=G44)*($H$2:H44=H44)*($I$2:I44=I44)*($J$2:J44=J44)*($K$2:K44=K44)*($N$2:N44=N44))=1,"بله-1","بله")))</f>
        <v>خیر</v>
      </c>
      <c r="P44" s="5" t="str" cm="1">
        <f t="array" ref="P44">IF(A44="","",IF(SUMPRODUCT(($F$2:$F$969=F44)*($I$2:$I$969=I44))=1,"خیر",IF(SUMPRODUCT(($F$2:F44=F44)*($I$2:I44=I44))=1,"بله-1","بله")))</f>
        <v>خیر</v>
      </c>
    </row>
    <row r="45" spans="1:16" ht="56.25" x14ac:dyDescent="0.25">
      <c r="A45" s="2">
        <v>130011535</v>
      </c>
      <c r="B45" s="2" t="s">
        <v>1950</v>
      </c>
      <c r="C45" s="2" t="s">
        <v>1951</v>
      </c>
      <c r="D45" s="2" t="s">
        <v>122</v>
      </c>
      <c r="E45" s="2" t="s">
        <v>123</v>
      </c>
      <c r="F45" s="2" t="s">
        <v>1511</v>
      </c>
      <c r="G45" s="2" t="s">
        <v>1419</v>
      </c>
      <c r="H45" s="2" t="s">
        <v>1497</v>
      </c>
      <c r="I45" s="2" t="s">
        <v>1420</v>
      </c>
      <c r="J45" s="2" t="s">
        <v>1512</v>
      </c>
      <c r="K45" s="2" t="s">
        <v>282</v>
      </c>
      <c r="L45" s="3">
        <f>IF(OR(TRIM(I45)="",TRIM(K45)=""),"",IFERROR((VALUE(LEFT(TRIM(I45),4))-VALUE(LEFT(TRIM(K45),4)))*12+VALUE(MID(TRIM(I45),6,2))-VALUE(MID(TRIM(K45),6,2)),""))</f>
        <v>13</v>
      </c>
      <c r="M45" s="2" t="str">
        <f>IF(TRIM(H45)="","",IFERROR(LOOKUP(2,1/(ISNUMBER(SEARCH('منطق دسته‌بندی'!$A$2:$A$187,H45))),'منطق دسته‌بندی'!$B$2:$B$187),"سایر (نیازمند بررسی دستی)"))</f>
        <v>یخساز - تنظیم/عایق (تعمیر)</v>
      </c>
      <c r="N45" s="2" t="s">
        <v>1513</v>
      </c>
      <c r="O45" s="2" t="str" cm="1">
        <f t="array" ref="O45">IF(A45="","",IF(SUMPRODUCT(($B$2:$B$965=B45)*($C$2:$C$965=C45)*($D$2:$D$965=D45)*($E$2:$E$965=E45)*($F$2:$F$965=F45)*($G$2:$G$965=G45)*($H$2:$H$965=H45)*($I$2:$I$965=I45)*($J$2:$J$965=J45)*($K$2:$K$965=K45)*($N$2:$N$965=N45))=1,"خیر",IF(SUMPRODUCT(($B$2:B45=B45)*($C$2:C45=C45)*($D$2:D45=D45)*($E$2:E45=E45)*($F$2:F45=F45)*($G$2:G45=G45)*($H$2:H45=H45)*($I$2:I45=I45)*($J$2:J45=J45)*($K$2:K45=K45)*($N$2:N45=N45))=1,"بله-1","بله")))</f>
        <v>خیر</v>
      </c>
      <c r="P45" s="5" t="str" cm="1">
        <f t="array" ref="P45">IF(A45="","",IF(SUMPRODUCT(($F$2:$F$969=F45)*($I$2:$I$969=I45))=1,"خیر",IF(SUMPRODUCT(($F$2:F45=F45)*($I$2:I45=I45))=1,"بله-1","بله")))</f>
        <v>خیر</v>
      </c>
    </row>
    <row r="46" spans="1:16" ht="56.25" x14ac:dyDescent="0.25">
      <c r="A46" s="2">
        <v>210020679</v>
      </c>
      <c r="B46" s="2" t="s">
        <v>1040</v>
      </c>
      <c r="C46" s="2" t="s">
        <v>1041</v>
      </c>
      <c r="D46" s="2" t="s">
        <v>122</v>
      </c>
      <c r="E46" s="2" t="s">
        <v>123</v>
      </c>
      <c r="F46" s="2" t="s">
        <v>1508</v>
      </c>
      <c r="G46" s="2" t="s">
        <v>1419</v>
      </c>
      <c r="H46" s="2" t="s">
        <v>1497</v>
      </c>
      <c r="I46" s="2" t="s">
        <v>1451</v>
      </c>
      <c r="J46" s="2" t="s">
        <v>1163</v>
      </c>
      <c r="K46" s="2" t="s">
        <v>247</v>
      </c>
      <c r="L46" s="3">
        <f>IF(OR(TRIM(I46)="",TRIM(K46)=""),"",IFERROR((VALUE(LEFT(TRIM(I46),4))-VALUE(LEFT(TRIM(K46),4)))*12+VALUE(MID(TRIM(I46),6,2))-VALUE(MID(TRIM(K46),6,2)),""))</f>
        <v>12</v>
      </c>
      <c r="M46" s="2" t="str">
        <f>IF(TRIM(H46)="","",IFERROR(LOOKUP(2,1/(ISNUMBER(SEARCH('منطق دسته‌بندی'!$A$2:$A$187,H46))),'منطق دسته‌بندی'!$B$2:$B$187),"سایر (نیازمند بررسی دستی)"))</f>
        <v>یخساز - تنظیم/عایق (تعمیر)</v>
      </c>
      <c r="N46" s="2" t="s">
        <v>1381</v>
      </c>
      <c r="O46" s="2" t="str" cm="1">
        <f t="array" ref="O46">IF(A46="","",IF(SUMPRODUCT(($B$2:$B$965=B46)*($C$2:$C$965=C46)*($D$2:$D$965=D46)*($E$2:$E$965=E46)*($F$2:$F$965=F46)*($G$2:$G$965=G46)*($H$2:$H$965=H46)*($I$2:$I$965=I46)*($J$2:$J$965=J46)*($K$2:$K$965=K46)*($N$2:$N$965=N46))=1,"خیر",IF(SUMPRODUCT(($B$2:B46=B46)*($C$2:C46=C46)*($D$2:D46=D46)*($E$2:E46=E46)*($F$2:F46=F46)*($G$2:G46=G46)*($H$2:H46=H46)*($I$2:I46=I46)*($J$2:J46=J46)*($K$2:K46=K46)*($N$2:N46=N46))=1,"بله-1","بله")))</f>
        <v>خیر</v>
      </c>
      <c r="P46" s="5" t="str" cm="1">
        <f t="array" ref="P46">IF(A46="","",IF(SUMPRODUCT(($F$2:$F$969=F46)*($I$2:$I$969=I46))=1,"خیر",IF(SUMPRODUCT(($F$2:F46=F46)*($I$2:I46=I46))=1,"بله-1","بله")))</f>
        <v>خیر</v>
      </c>
    </row>
    <row r="47" spans="1:16" ht="18.75" x14ac:dyDescent="0.25">
      <c r="A47" s="2" t="s">
        <v>271</v>
      </c>
      <c r="B47" s="2" t="s">
        <v>16</v>
      </c>
      <c r="C47" s="2" t="s">
        <v>17</v>
      </c>
      <c r="D47" s="2" t="s">
        <v>122</v>
      </c>
      <c r="E47" s="2" t="s">
        <v>123</v>
      </c>
      <c r="F47" s="2" t="s">
        <v>262</v>
      </c>
      <c r="G47" s="2" t="s">
        <v>204</v>
      </c>
      <c r="H47" s="2" t="s">
        <v>272</v>
      </c>
      <c r="I47" s="2" t="s">
        <v>239</v>
      </c>
      <c r="J47" s="2" t="s">
        <v>173</v>
      </c>
      <c r="K47" s="2" t="s">
        <v>168</v>
      </c>
      <c r="L47" s="3">
        <f>IF(OR(TRIM(I47)="",TRIM(K47)=""),"",IFERROR((VALUE(LEFT(TRIM(I47),4))-VALUE(LEFT(TRIM(K47),4)))*12+VALUE(MID(TRIM(I47),6,2))-VALUE(MID(TRIM(K47),6,2)),""))</f>
        <v>1</v>
      </c>
      <c r="M47" s="2" t="str">
        <f>IF(TRIM(H47)="","",IFERROR(LOOKUP(2,1/(ISNUMBER(SEARCH('منطق دسته‌بندی'!$A$2:$A$187,H47))),'منطق دسته‌بندی'!$B$2:$B$187),"سایر (نیازمند بررسی دستی)"))</f>
        <v>یخساز - تنظیم/عایق (تعمیر)</v>
      </c>
      <c r="N47" s="2" t="s">
        <v>24</v>
      </c>
      <c r="O47" s="2" t="str" cm="1">
        <f t="array" ref="O47">IF(A47="","",IF(SUMPRODUCT(($B$2:$B$965=B47)*($C$2:$C$965=C47)*($D$2:$D$965=D47)*($E$2:$E$965=E47)*($F$2:$F$965=F47)*($G$2:$G$965=G47)*($H$2:$H$965=H47)*($I$2:$I$965=I47)*($J$2:$J$965=J47)*($K$2:$K$965=K47)*($N$2:$N$965=N47))=1,"خیر",IF(SUMPRODUCT(($B$2:B47=B47)*($C$2:C47=C47)*($D$2:D47=D47)*($E$2:E47=E47)*($F$2:F47=F47)*($G$2:G47=G47)*($H$2:H47=H47)*($I$2:I47=I47)*($J$2:J47=J47)*($K$2:K47=K47)*($N$2:N47=N47))=1,"بله-1","بله")))</f>
        <v>خیر</v>
      </c>
      <c r="P47" s="5" t="str" cm="1">
        <f t="array" ref="P47">IF(A47="","",IF(SUMPRODUCT(($F$2:$F$969=F47)*($I$2:$I$969=I47))=1,"خیر",IF(SUMPRODUCT(($F$2:F47=F47)*($I$2:I47=I47))=1,"بله-1","بله")))</f>
        <v>بله-1</v>
      </c>
    </row>
    <row r="48" spans="1:16" ht="37.5" x14ac:dyDescent="0.25">
      <c r="A48" s="2" t="s">
        <v>261</v>
      </c>
      <c r="B48" s="2" t="s">
        <v>16</v>
      </c>
      <c r="C48" s="2" t="s">
        <v>17</v>
      </c>
      <c r="D48" s="2" t="s">
        <v>122</v>
      </c>
      <c r="E48" s="2" t="s">
        <v>123</v>
      </c>
      <c r="F48" s="2" t="s">
        <v>262</v>
      </c>
      <c r="G48" s="2" t="s">
        <v>204</v>
      </c>
      <c r="H48" s="2" t="s">
        <v>263</v>
      </c>
      <c r="I48" s="2" t="s">
        <v>239</v>
      </c>
      <c r="J48" s="2" t="s">
        <v>173</v>
      </c>
      <c r="K48" s="2" t="s">
        <v>168</v>
      </c>
      <c r="L48" s="3">
        <f>IF(OR(TRIM(I48)="",TRIM(K48)=""),"",IFERROR((VALUE(LEFT(TRIM(I48),4))-VALUE(LEFT(TRIM(K48),4)))*12+VALUE(MID(TRIM(I48),6,2))-VALUE(MID(TRIM(K48),6,2)),""))</f>
        <v>1</v>
      </c>
      <c r="M48" s="2" t="str">
        <f>IF(TRIM(H48)="","",IFERROR(LOOKUP(2,1/(ISNUMBER(SEARCH('منطق دسته‌بندی'!$A$2:$A$187,H48))),'منطق دسته‌بندی'!$B$2:$B$187),"سایر (نیازمند بررسی دستی)"))</f>
        <v>یخساز - تنظیم/عایق (تعمیر)</v>
      </c>
      <c r="N48" s="2" t="s">
        <v>24</v>
      </c>
      <c r="O48" s="2" t="str" cm="1">
        <f t="array" ref="O48">IF(A48="","",IF(SUMPRODUCT(($B$2:$B$965=B48)*($C$2:$C$965=C48)*($D$2:$D$965=D48)*($E$2:$E$965=E48)*($F$2:$F$965=F48)*($G$2:$G$965=G48)*($H$2:$H$965=H48)*($I$2:$I$965=I48)*($J$2:$J$965=J48)*($K$2:$K$965=K48)*($N$2:$N$965=N48))=1,"خیر",IF(SUMPRODUCT(($B$2:B48=B48)*($C$2:C48=C48)*($D$2:D48=D48)*($E$2:E48=E48)*($F$2:F48=F48)*($G$2:G48=G48)*($H$2:H48=H48)*($I$2:I48=I48)*($J$2:J48=J48)*($K$2:K48=K48)*($N$2:N48=N48))=1,"بله-1","بله")))</f>
        <v>خیر</v>
      </c>
      <c r="P48" s="5" t="str" cm="1">
        <f t="array" ref="P48">IF(A48="","",IF(SUMPRODUCT(($F$2:$F$969=F48)*($I$2:$I$969=I48))=1,"خیر",IF(SUMPRODUCT(($F$2:F48=F48)*($I$2:I48=I48))=1,"بله-1","بله")))</f>
        <v>بله</v>
      </c>
    </row>
    <row r="49" spans="1:16" ht="18.75" x14ac:dyDescent="0.25">
      <c r="A49" s="2" t="s">
        <v>1161</v>
      </c>
      <c r="B49" s="2" t="s">
        <v>1040</v>
      </c>
      <c r="C49" s="2" t="s">
        <v>1041</v>
      </c>
      <c r="D49" s="2" t="s">
        <v>122</v>
      </c>
      <c r="E49" s="2" t="s">
        <v>123</v>
      </c>
      <c r="F49" s="2" t="s">
        <v>1162</v>
      </c>
      <c r="G49" s="2" t="s">
        <v>250</v>
      </c>
      <c r="H49" s="2" t="s">
        <v>205</v>
      </c>
      <c r="I49" s="2" t="s">
        <v>1159</v>
      </c>
      <c r="J49" s="2" t="s">
        <v>1163</v>
      </c>
      <c r="K49" s="2" t="s">
        <v>474</v>
      </c>
      <c r="L49" s="3">
        <f>IF(OR(TRIM(I49)="",TRIM(K49)=""),"",IFERROR((VALUE(LEFT(TRIM(I49),4))-VALUE(LEFT(TRIM(K49),4)))*12+VALUE(MID(TRIM(I49),6,2))-VALUE(MID(TRIM(K49),6,2)),""))</f>
        <v>12</v>
      </c>
      <c r="M49" s="2" t="str">
        <f>IF(TRIM(H49)="","",IFERROR(LOOKUP(2,1/(ISNUMBER(SEARCH('منطق دسته‌بندی'!$A$2:$A$187,H49))),'منطق دسته‌بندی'!$B$2:$B$187),"سایر (نیازمند بررسی دستی)"))</f>
        <v>یخساز - تنظیم/عایق (تعمیر)</v>
      </c>
      <c r="N49" s="2" t="s">
        <v>1164</v>
      </c>
      <c r="O49" s="2" t="str" cm="1">
        <f t="array" ref="O49">IF(A49="","",IF(SUMPRODUCT(($B$2:$B$965=B49)*($C$2:$C$965=C49)*($D$2:$D$965=D49)*($E$2:$E$965=E49)*($F$2:$F$965=F49)*($G$2:$G$965=G49)*($H$2:$H$965=H49)*($I$2:$I$965=I49)*($J$2:$J$965=J49)*($K$2:$K$965=K49)*($N$2:$N$965=N49))=1,"خیر",IF(SUMPRODUCT(($B$2:B49=B49)*($C$2:C49=C49)*($D$2:D49=D49)*($E$2:E49=E49)*($F$2:F49=F49)*($G$2:G49=G49)*($H$2:H49=H49)*($I$2:I49=I49)*($J$2:J49=J49)*($K$2:K49=K49)*($N$2:N49=N49))=1,"بله-1","بله")))</f>
        <v>خیر</v>
      </c>
      <c r="P49" s="5" t="str" cm="1">
        <f t="array" ref="P49">IF(A49="","",IF(SUMPRODUCT(($F$2:$F$969=F49)*($I$2:$I$969=I49))=1,"خیر",IF(SUMPRODUCT(($F$2:F49=F49)*($I$2:I49=I49))=1,"بله-1","بله")))</f>
        <v>خیر</v>
      </c>
    </row>
    <row r="50" spans="1:16" ht="18.75" x14ac:dyDescent="0.25">
      <c r="A50" s="2" t="s">
        <v>1216</v>
      </c>
      <c r="B50" s="2" t="s">
        <v>1040</v>
      </c>
      <c r="C50" s="2" t="s">
        <v>1041</v>
      </c>
      <c r="D50" s="2" t="s">
        <v>122</v>
      </c>
      <c r="E50" s="2" t="s">
        <v>123</v>
      </c>
      <c r="F50" s="2" t="s">
        <v>1217</v>
      </c>
      <c r="G50" s="2" t="s">
        <v>250</v>
      </c>
      <c r="H50" s="2" t="s">
        <v>205</v>
      </c>
      <c r="I50" s="2" t="s">
        <v>1214</v>
      </c>
      <c r="J50" s="2" t="s">
        <v>863</v>
      </c>
      <c r="K50" s="2" t="s">
        <v>649</v>
      </c>
      <c r="L50" s="3">
        <f>IF(OR(TRIM(I50)="",TRIM(K50)=""),"",IFERROR((VALUE(LEFT(TRIM(I50),4))-VALUE(LEFT(TRIM(K50),4)))*12+VALUE(MID(TRIM(I50),6,2))-VALUE(MID(TRIM(K50),6,2)),""))</f>
        <v>15</v>
      </c>
      <c r="M50" s="2" t="str">
        <f>IF(TRIM(H50)="","",IFERROR(LOOKUP(2,1/(ISNUMBER(SEARCH('منطق دسته‌بندی'!$A$2:$A$187,H50))),'منطق دسته‌بندی'!$B$2:$B$187),"سایر (نیازمند بررسی دستی)"))</f>
        <v>یخساز - تنظیم/عایق (تعمیر)</v>
      </c>
      <c r="N50" s="2" t="s">
        <v>24</v>
      </c>
      <c r="O50" s="2" t="str" cm="1">
        <f t="array" ref="O50">IF(A50="","",IF(SUMPRODUCT(($B$2:$B$965=B50)*($C$2:$C$965=C50)*($D$2:$D$965=D50)*($E$2:$E$965=E50)*($F$2:$F$965=F50)*($G$2:$G$965=G50)*($H$2:$H$965=H50)*($I$2:$I$965=I50)*($J$2:$J$965=J50)*($K$2:$K$965=K50)*($N$2:$N$965=N50))=1,"خیر",IF(SUMPRODUCT(($B$2:B50=B50)*($C$2:C50=C50)*($D$2:D50=D50)*($E$2:E50=E50)*($F$2:F50=F50)*($G$2:G50=G50)*($H$2:H50=H50)*($I$2:I50=I50)*($J$2:J50=J50)*($K$2:K50=K50)*($N$2:N50=N50))=1,"بله-1","بله")))</f>
        <v>خیر</v>
      </c>
      <c r="P50" s="5" t="str" cm="1">
        <f t="array" ref="P50">IF(A50="","",IF(SUMPRODUCT(($F$2:$F$969=F50)*($I$2:$I$969=I50))=1,"خیر",IF(SUMPRODUCT(($F$2:F50=F50)*($I$2:I50=I50))=1,"بله-1","بله")))</f>
        <v>خیر</v>
      </c>
    </row>
    <row r="51" spans="1:16" ht="18.75" x14ac:dyDescent="0.25">
      <c r="A51" s="2" t="s">
        <v>169</v>
      </c>
      <c r="B51" s="2" t="s">
        <v>16</v>
      </c>
      <c r="C51" s="2" t="s">
        <v>17</v>
      </c>
      <c r="D51" s="2" t="s">
        <v>122</v>
      </c>
      <c r="E51" s="2" t="s">
        <v>123</v>
      </c>
      <c r="F51" s="2" t="s">
        <v>170</v>
      </c>
      <c r="G51" s="2" t="s">
        <v>171</v>
      </c>
      <c r="H51" s="2" t="s">
        <v>172</v>
      </c>
      <c r="I51" s="2" t="s">
        <v>47</v>
      </c>
      <c r="J51" s="2" t="s">
        <v>173</v>
      </c>
      <c r="K51" s="2" t="s">
        <v>174</v>
      </c>
      <c r="L51" s="3">
        <f>IF(OR(TRIM(I51)="",TRIM(K51)=""),"",IFERROR((VALUE(LEFT(TRIM(I51),4))-VALUE(LEFT(TRIM(K51),4)))*12+VALUE(MID(TRIM(I51),6,2))-VALUE(MID(TRIM(K51),6,2)),""))</f>
        <v>1</v>
      </c>
      <c r="M51" s="2" t="str">
        <f>IF(TRIM(H51)="","",IFERROR(LOOKUP(2,1/(ISNUMBER(SEARCH('منطق دسته‌بندی'!$A$2:$A$187,H51))),'منطق دسته‌بندی'!$B$2:$B$187),"سایر (نیازمند بررسی دستی)"))</f>
        <v>مکانیزم درب - مگنت (تعویض)</v>
      </c>
      <c r="N51" s="2" t="s">
        <v>175</v>
      </c>
      <c r="O51" s="2" t="str" cm="1">
        <f t="array" ref="O51">IF(A51="","",IF(SUMPRODUCT(($B$2:$B$965=B51)*($C$2:$C$965=C51)*($D$2:$D$965=D51)*($E$2:$E$965=E51)*($F$2:$F$965=F51)*($G$2:$G$965=G51)*($H$2:$H$965=H51)*($I$2:$I$965=I51)*($J$2:$J$965=J51)*($K$2:$K$965=K51)*($N$2:$N$965=N51))=1,"خیر",IF(SUMPRODUCT(($B$2:B51=B51)*($C$2:C51=C51)*($D$2:D51=D51)*($E$2:E51=E51)*($F$2:F51=F51)*($G$2:G51=G51)*($H$2:H51=H51)*($I$2:I51=I51)*($J$2:J51=J51)*($K$2:K51=K51)*($N$2:N51=N51))=1,"بله-1","بله")))</f>
        <v>خیر</v>
      </c>
      <c r="P51" s="5" t="str" cm="1">
        <f t="array" ref="P51">IF(A51="","",IF(SUMPRODUCT(($F$2:$F$969=F51)*($I$2:$I$969=I51))=1,"خیر",IF(SUMPRODUCT(($F$2:F51=F51)*($I$2:I51=I51))=1,"بله-1","بله")))</f>
        <v>خیر</v>
      </c>
    </row>
    <row r="52" spans="1:16" ht="18.75" x14ac:dyDescent="0.25">
      <c r="A52" s="2">
        <v>130010892</v>
      </c>
      <c r="B52" s="2" t="s">
        <v>1950</v>
      </c>
      <c r="C52" s="2" t="s">
        <v>1951</v>
      </c>
      <c r="D52" s="2" t="s">
        <v>122</v>
      </c>
      <c r="E52" s="2" t="s">
        <v>123</v>
      </c>
      <c r="F52" s="2" t="s">
        <v>1500</v>
      </c>
      <c r="G52" s="2" t="s">
        <v>1501</v>
      </c>
      <c r="H52" s="2" t="s">
        <v>1502</v>
      </c>
      <c r="I52" s="2" t="s">
        <v>1463</v>
      </c>
      <c r="J52" s="2" t="s">
        <v>863</v>
      </c>
      <c r="K52" s="2" t="s">
        <v>1503</v>
      </c>
      <c r="L52" s="3">
        <f>IF(OR(TRIM(I52)="",TRIM(K52)=""),"",IFERROR((VALUE(LEFT(TRIM(I52),4))-VALUE(LEFT(TRIM(K52),4)))*12+VALUE(MID(TRIM(I52),6,2))-VALUE(MID(TRIM(K52),6,2)),""))</f>
        <v>15</v>
      </c>
      <c r="M52" s="2" t="str">
        <f>IF(TRIM(H52)="","",IFERROR(LOOKUP(2,1/(ISNUMBER(SEARCH('منطق دسته‌بندی'!$A$2:$A$187,H52))),'منطق دسته‌بندی'!$B$2:$B$187),"سایر (نیازمند بررسی دستی)"))</f>
        <v>سایر اجزای درب (بازبینی)</v>
      </c>
      <c r="N52" s="2" t="s">
        <v>1504</v>
      </c>
      <c r="O52" s="2" t="str" cm="1">
        <f t="array" ref="O52">IF(A52="","",IF(SUMPRODUCT(($B$2:$B$965=B52)*($C$2:$C$965=C52)*($D$2:$D$965=D52)*($E$2:$E$965=E52)*($F$2:$F$965=F52)*($G$2:$G$965=G52)*($H$2:$H$965=H52)*($I$2:$I$965=I52)*($J$2:$J$965=J52)*($K$2:$K$965=K52)*($N$2:$N$965=N52))=1,"خیر",IF(SUMPRODUCT(($B$2:B52=B52)*($C$2:C52=C52)*($D$2:D52=D52)*($E$2:E52=E52)*($F$2:F52=F52)*($G$2:G52=G52)*($H$2:H52=H52)*($I$2:I52=I52)*($J$2:J52=J52)*($K$2:K52=K52)*($N$2:N52=N52))=1,"بله-1","بله")))</f>
        <v>خیر</v>
      </c>
      <c r="P52" s="5" t="str" cm="1">
        <f t="array" ref="P52">IF(A52="","",IF(SUMPRODUCT(($F$2:$F$969=F52)*($I$2:$I$969=I52))=1,"خیر",IF(SUMPRODUCT(($F$2:F52=F52)*($I$2:I52=I52))=1,"بله-1","بله")))</f>
        <v>خیر</v>
      </c>
    </row>
    <row r="53" spans="1:16" ht="18.75" x14ac:dyDescent="0.25">
      <c r="A53" s="2" t="s">
        <v>535</v>
      </c>
      <c r="B53" s="2" t="s">
        <v>16</v>
      </c>
      <c r="C53" s="2" t="s">
        <v>17</v>
      </c>
      <c r="D53" s="2" t="s">
        <v>122</v>
      </c>
      <c r="E53" s="2" t="s">
        <v>123</v>
      </c>
      <c r="F53" s="2" t="s">
        <v>519</v>
      </c>
      <c r="G53" s="2" t="s">
        <v>204</v>
      </c>
      <c r="H53" s="2" t="s">
        <v>536</v>
      </c>
      <c r="I53" s="2" t="s">
        <v>507</v>
      </c>
      <c r="J53" s="2" t="s">
        <v>520</v>
      </c>
      <c r="K53" s="2" t="s">
        <v>86</v>
      </c>
      <c r="L53" s="3">
        <f>IF(OR(TRIM(I53)="",TRIM(K53)=""),"",IFERROR((VALUE(LEFT(TRIM(I53),4))-VALUE(LEFT(TRIM(K53),4)))*12+VALUE(MID(TRIM(I53),6,2))-VALUE(MID(TRIM(K53),6,2)),""))</f>
        <v>1</v>
      </c>
      <c r="M53" s="2" t="str">
        <f>IF(TRIM(H53)="","",IFERROR(LOOKUP(2,1/(ISNUMBER(SEARCH('منطق دسته‌بندی'!$A$2:$A$187,H53))),'منطق دسته‌بندی'!$B$2:$B$187),"سایر (نیازمند بررسی دستی)"))</f>
        <v>خرابی - برد الکترونیک (تعویض)</v>
      </c>
      <c r="N53" s="2" t="s">
        <v>268</v>
      </c>
      <c r="O53" s="2" t="str" cm="1">
        <f t="array" ref="O53">IF(A53="","",IF(SUMPRODUCT(($B$2:$B$965=B53)*($C$2:$C$965=C53)*($D$2:$D$965=D53)*($E$2:$E$965=E53)*($F$2:$F$965=F53)*($G$2:$G$965=G53)*($H$2:$H$965=H53)*($I$2:$I$965=I53)*($J$2:$J$965=J53)*($K$2:$K$965=K53)*($N$2:$N$965=N53))=1,"خیر",IF(SUMPRODUCT(($B$2:B53=B53)*($C$2:C53=C53)*($D$2:D53=D53)*($E$2:E53=E53)*($F$2:F53=F53)*($G$2:G53=G53)*($H$2:H53=H53)*($I$2:I53=I53)*($J$2:J53=J53)*($K$2:K53=K53)*($N$2:N53=N53))=1,"بله-1","بله")))</f>
        <v>خیر</v>
      </c>
      <c r="P53" s="5" t="str" cm="1">
        <f t="array" ref="P53">IF(A53="","",IF(SUMPRODUCT(($F$2:$F$969=F53)*($I$2:$I$969=I53))=1,"خیر",IF(SUMPRODUCT(($F$2:F53=F53)*($I$2:I53=I53))=1,"بله-1","بله")))</f>
        <v>بله-1</v>
      </c>
    </row>
    <row r="54" spans="1:16" ht="37.5" x14ac:dyDescent="0.25">
      <c r="A54" s="2" t="s">
        <v>518</v>
      </c>
      <c r="B54" s="2" t="s">
        <v>16</v>
      </c>
      <c r="C54" s="2" t="s">
        <v>17</v>
      </c>
      <c r="D54" s="2" t="s">
        <v>122</v>
      </c>
      <c r="E54" s="2" t="s">
        <v>123</v>
      </c>
      <c r="F54" s="2" t="s">
        <v>519</v>
      </c>
      <c r="G54" s="2" t="s">
        <v>204</v>
      </c>
      <c r="H54" s="2" t="s">
        <v>263</v>
      </c>
      <c r="I54" s="2" t="s">
        <v>507</v>
      </c>
      <c r="J54" s="2" t="s">
        <v>520</v>
      </c>
      <c r="K54" s="2" t="s">
        <v>86</v>
      </c>
      <c r="L54" s="3">
        <f>IF(OR(TRIM(I54)="",TRIM(K54)=""),"",IFERROR((VALUE(LEFT(TRIM(I54),4))-VALUE(LEFT(TRIM(K54),4)))*12+VALUE(MID(TRIM(I54),6,2))-VALUE(MID(TRIM(K54),6,2)),""))</f>
        <v>1</v>
      </c>
      <c r="M54" s="2" t="str">
        <f>IF(TRIM(H54)="","",IFERROR(LOOKUP(2,1/(ISNUMBER(SEARCH('منطق دسته‌بندی'!$A$2:$A$187,H54))),'منطق دسته‌بندی'!$B$2:$B$187),"سایر (نیازمند بررسی دستی)"))</f>
        <v>یخساز - تنظیم/عایق (تعمیر)</v>
      </c>
      <c r="N54" s="2" t="s">
        <v>24</v>
      </c>
      <c r="O54" s="2" t="str" cm="1">
        <f t="array" ref="O54">IF(A54="","",IF(SUMPRODUCT(($B$2:$B$965=B54)*($C$2:$C$965=C54)*($D$2:$D$965=D54)*($E$2:$E$965=E54)*($F$2:$F$965=F54)*($G$2:$G$965=G54)*($H$2:$H$965=H54)*($I$2:$I$965=I54)*($J$2:$J$965=J54)*($K$2:$K$965=K54)*($N$2:$N$965=N54))=1,"خیر",IF(SUMPRODUCT(($B$2:B54=B54)*($C$2:C54=C54)*($D$2:D54=D54)*($E$2:E54=E54)*($F$2:F54=F54)*($G$2:G54=G54)*($H$2:H54=H54)*($I$2:I54=I54)*($J$2:J54=J54)*($K$2:K54=K54)*($N$2:N54=N54))=1,"بله-1","بله")))</f>
        <v>خیر</v>
      </c>
      <c r="P54" s="5" t="str" cm="1">
        <f t="array" ref="P54">IF(A54="","",IF(SUMPRODUCT(($F$2:$F$969=F54)*($I$2:$I$969=I54))=1,"خیر",IF(SUMPRODUCT(($F$2:F54=F54)*($I$2:I54=I54))=1,"بله-1","بله")))</f>
        <v>بله</v>
      </c>
    </row>
    <row r="55" spans="1:16" ht="37.5" x14ac:dyDescent="0.25">
      <c r="A55" s="2">
        <v>710005835</v>
      </c>
      <c r="B55" s="2" t="s">
        <v>1950</v>
      </c>
      <c r="C55" s="2" t="s">
        <v>1951</v>
      </c>
      <c r="D55" s="2" t="s">
        <v>2018</v>
      </c>
      <c r="E55" s="2" t="s">
        <v>123</v>
      </c>
      <c r="F55" s="2" t="s">
        <v>1961</v>
      </c>
      <c r="G55" s="2" t="s">
        <v>1494</v>
      </c>
      <c r="H55" s="2" t="s">
        <v>1990</v>
      </c>
      <c r="I55" s="2" t="s">
        <v>1999</v>
      </c>
      <c r="J55" s="2" t="s">
        <v>2004</v>
      </c>
      <c r="K55" s="2" t="s">
        <v>961</v>
      </c>
      <c r="L55" s="3">
        <f>IF(OR(TRIM(I55)="",TRIM(K55)=""),"",IFERROR((VALUE(LEFT(TRIM(I55),4))-VALUE(LEFT(TRIM(K55),4)))*12+VALUE(MID(TRIM(I55),6,2))-VALUE(MID(TRIM(K55),6,2)),""))</f>
        <v>10</v>
      </c>
      <c r="M55" s="2" t="str">
        <f>IF(OR(ISNUMBER(SEARCH("بدون مورد",H55)),ISNUMBER(SEARCH("غير گارانتي",H55)),ISNUMBER(SEARCH("غیر گارانتی",H55)),ISNUMBER(SEARCH("بدون اجرت",H55)),ISNUMBER(SEARCH("فيلتر",H55)),ISNUMBER(SEARCH("فیلتر",H55))),"غیرگارانتی/بدون قطعه",IF(OR(ISNUMBER(SEARCH("ريست",H55)),ISNUMBER(SEARCH("ریست",H55))),"ریست نرم‌افزاری (بدون قطعه)",IF(OR(ISNUMBER(SEARCH("تعویض محصول",H55)),ISNUMBER(SEARCH("تعویض دستگاه",H55))),"تعویض کامل دستگاه (Replacement)",IF(ISNUMBER(SEARCH("پمپ",H55)),IF(ISNUMBER(SEARCH("نشت",H55)),"نشتی - پمپ تخلیه (تعمیر/آب‌بندی)","خرابی - پمپ تخلیه (تعویض)"),IF(ISNUMBER(SEARCH("کمپرسور",H55)),"خرابی - کمپرسور (تعویض)",IF(ISNUMBER(SEARCH("کمک فنر",H55)),"خرابی - کمک فنر (تعویض)",IF(ISNUMBER(SEARCH("لولا",H55)),"مکانیزم درب - لولا (تعویض)",IF(OR(ISNUMBER(SEARCH("قلاب",H55)),ISNUMBER(SEARCH("ميکروسوئيچ",H55)),ISNUMBER(SEARCH("میکروسوئیچ",H55))),"مکانیزم درب - میکروسوئیچ/قلاب (تعویض/تنظیم)",IF(ISNUMBER(SEARCH("زبانه",H55)),"مکانیزم درب - زبانه (تعویض)",IF(OR(ISNUMBER(SEARCH("شيلنگ",H55)),ISNUMBER(SEARCH("شیلنگ",H55))),IF(OR(ISNUMBER(SEARCH("نشتی",H55)),ISNUMBER(SEARCH("نشتي",H55))),"نشتی - شیلنگ (تعمیر/آب‌بندی)",IF(OR(ISNUMBER(SEARCH("يخ",H55)),ISNUMBER(SEARCH("یخ",H55))),"شیلنگ یخساز - یخ‌زدگی (بازبینی)","شیلنگ - برخورد/لهیدگی (بازبینی)")),IF(OR(ISNUMBER(SEARCH("تنظيم ديسپل",H55)),ISNUMBER(SEARCH("تنظیم دیسپل",H55)),ISNUMBER(SEARCH("تنظيم صفحه نمايش",H55)),ISNUMBER(SEARCH("تنظیم صفحه نمایش",H55))),"تنظیم - تنظیمات دستگاه/دیسپلی (تعمیر)",IF(OR(ISNUMBER(SEARCH("برد",H55)),ISNUMBER(SEARCH("سوکت",H55)),ISNUMBER(SEARCH("ديسپل",H55)),ISNUMBER(SEARCH("دیسپل",H55))),"خرابی - برد الکترونیک (تعویض)",IF(OR(ISNUMBER(SEARCH("يخساز",H55)),ISNUMBER(SEARCH("یخساز",H55)),ISNUMBER(SEARCH("دمپر",H55))),IF(OR(ISNUMBER(SEARCH("خرابی",H55)),ISNUMBER(SEARCH("خراب",H55)),ISNUMBER(SEARCH("عدم کارکرد",H55)),ISNUMBER(SEARCH("عدم عملکرد",H55))),"یخساز - خرابی موتور/سنسور/برد (تعویض)","یخساز - تنظیم/عایق (تعمیر)"),IF(OR(ISNUMBER(SEARCH("لاستيک",H55)),ISNUMBER(SEARCH("لاستیک",H55))),"لاستیک درزگیر - دفرمگی/پارگی (تعویض)",IF(OR(ISNUMBER(SEARCH("گسکت",H55)),ISNUMBER(SEARCH("گسگت",H55))),"لاستیک درزگیر - دفرمگی/پارگی (تعویض)",IF(ISNUMBER(SEARCH("مخزن نمک",H55)),"نشتی - درب مخزن نمک (تعمیر/آب‌بندی)",IF(ISNUMBER(SEARCH("براکت",H55)),"نشتی - براکت ریل (تعمیر/آب‌بندی)",IF(ISNUMBER(SEARCH("جاپودر",H55)),"نشتی - جاپودری (تعمیر/آب‌بندی)",IF(ISNUMBER(SEARCH("مقسم",H55)),"نشتی - مقسم آب (تعمیر/آب‌بندی)",IF(OR(ISNUMBER(SEARCH("سنسور دما",H55)),ISNUMBER(SEARCH("ترموستات",H55))),"خرابی - ترموستات (تعویض)",IF(OR(ISNUMBER(SEARCH("هيدروستات",H55)),ISNUMBER(SEARCH("هیدروستات",H55))),"خرابی - هیدروستات (تعویض)",IF(OR(ISNUMBER(SEARCH("بلبرينگ",H55)),ISNUMBER(SEARCH("بلبرینگ",H55))),"خرابی - بلبرینگ (تعویض)",IF(OR(ISNUMBER(SEARCH("شيربرق",H55)),ISNUMBER(SEARCH("شیربرق",H55))),"خرابی - شیربرقی (تعویض)",IF(OR(ISNUMBER(SEARCH("واتر جت",H55)),ISNUMBER(SEARCH("واترجت",H55))),"خرابی - واترجت (تعویض)",IF(OR(ISNUMBER(SEARCH("سيم",H55)),ISNUMBER(SEARCH("سیم",H55)),ISNUMBER(SEARCH("اتصال",H55))),"سیم‌کشی/اتصالات (تعویض/بازبینی)",IF(OR(ISNUMBER(SEARCH("تصوير",H55)),ISNUMBER(SEARCH("تصویر",H55))),"برد نمایش تلویزیون (تعویض)",IF(OR(ISNUMBER(SEARCH("ريموت",H55)),ISNUMBER(SEARCH("ریموت",H55))),"ریموت کنترل (تعویض/تعمیر)",IF(OR(ISNUMBER(SEARCH("ال اي دي",H55)),ISNUMBER(SEARCH("ال ای دی",H55)),ISNUMBER(SEARCH("LED",H55))),"خرابی - لامپ/LED داخلی (تعویض)",IF(ISNUMBER(SEARCH("زنگ زدگ",H55)),"زنگ‌زدگی بدنه/قطعه (تعویض)",IF(OR(ISNUMBER(SEARCH("قطعات تزئين",H55)),ISNUMBER(SEARCH("قطعات تزئین",H55))),"قطعات تزئینی - شکستگی/کسری (تعویض)",IF(ISNUMBER(SEARCH("سبد",H55)),"سبد ظرفشویی - شکستگی (تعویض)",IF(ISNUMBER(SEARCH("تاب درام",H55)),"خرابی - تاب برداشتن درام (تعویض)",IF(ISNUMBER(SEARCH("درام",H55)),"خرابی - سایر ایراد درام (تعویض)",IF(ISNUMBER(SEARCH("موتور",H55)),"خرابی - موتور (تعویض)",IF(ISNUMBER(SEARCH("تسمه",H55)),"خرابی - تسمه (تعویض)",IF(OR(ISNUMBER(SEARCH("پيچ ولوم",H55)),ISNUMBER(SEARCH("پیچ ولوم",H55))),"تنظیم - پیچ ولوم/دکمه (تعمیر)",IF(OR(ISNUMBER(SEARCH("کسري قطعات",H55)),ISNUMBER(SEARCH("کسری قطعات",H55))),"کسری قطعات تزئینی (تعویض)",IF(ISNUMBER(SEARCH("پرچ",H55)),"پرچ/بدنه کابین(تعمیر)",IF(OR(ISNUMBER(SEARCH("نشت",H55)),ISNUMBER(SEARCH("آبريزش",H55)),ISNUMBER(SEARCH("آبریزش",H55))),"نشتی آب - محل نامشخص (نیازمند بازدید)",IF(ISNUMBER(SEARCH("درب",H55)),"سایر اجزای درب (بازبینی)",IF(ISNUMBER(SEARCH("ضربه",H55)),"بدنه/کابین - ضربه (بازبینی/تعویض پنل)",IF(ISNUMBER(SEARCH("تراز",H55)),"تراز/لرزش - نصب (رگلاژ پایه)",IF(OR(ISNUMBER(SEARCH("تعویض",H55)),ISNUMBER(SEARCH("تعويض",H55))),"تعویض کامل دستگاه (Replacement)","سایر (نیازمند بررسی دستی)")))))))))))))))))))))))))))))))))))))))))))</f>
        <v>یخساز - تنظیم/عایق (تعمیر)</v>
      </c>
      <c r="N55" s="2" t="s">
        <v>1402</v>
      </c>
      <c r="O55" s="2" t="str" cm="1">
        <f t="array" ref="O55">IF(A55="","",IF(SUMPRODUCT(($B$2:$B$965=B55)*($C$2:$C$965=C55)*($D$2:$D$965=D55)*($E$2:$E$965=E55)*($F$2:$F$965=F55)*($G$2:$G$965=G55)*($H$2:$H$965=H55)*($I$2:$I$965=I55)*($J$2:$J$965=J55)*($K$2:$K$965=K55)*($N$2:$N$965=N55))=1,"خیر",IF(SUMPRODUCT(($B$2:B55=B55)*($C$2:C55=C55)*($D$2:D55=D55)*($E$2:E55=E55)*($F$2:F55=F55)*($G$2:G55=G55)*($H$2:H55=H55)*($I$2:I55=I55)*($J$2:J55=J55)*($K$2:K55=K55)*($N$2:N55=N55))=1,"بله-1","بله")))</f>
        <v>خیر</v>
      </c>
      <c r="P55" s="5" t="str" cm="1">
        <f t="array" ref="P55">IF(A55="","",IF(SUMPRODUCT(($F$2:$F$969=F55)*($I$2:$I$969=I55))=1,"خیر",IF(SUMPRODUCT(($F$2:F55=F55)*($I$2:I55=I55))=1,"بله-1","بله")))</f>
        <v>خیر</v>
      </c>
    </row>
    <row r="56" spans="1:16" ht="18.75" x14ac:dyDescent="0.25">
      <c r="A56" s="2" t="s">
        <v>1252</v>
      </c>
      <c r="B56" s="2" t="s">
        <v>1040</v>
      </c>
      <c r="C56" s="2" t="s">
        <v>1041</v>
      </c>
      <c r="D56" s="2" t="s">
        <v>122</v>
      </c>
      <c r="E56" s="2" t="s">
        <v>123</v>
      </c>
      <c r="F56" s="2" t="s">
        <v>1253</v>
      </c>
      <c r="G56" s="2" t="s">
        <v>250</v>
      </c>
      <c r="H56" s="2" t="s">
        <v>149</v>
      </c>
      <c r="I56" s="2" t="s">
        <v>1240</v>
      </c>
      <c r="J56" s="2" t="s">
        <v>1254</v>
      </c>
      <c r="K56" s="2" t="s">
        <v>1255</v>
      </c>
      <c r="L56" s="3">
        <f>IF(OR(TRIM(I56)="",TRIM(K56)=""),"",IFERROR((VALUE(LEFT(TRIM(I56),4))-VALUE(LEFT(TRIM(K56),4)))*12+VALUE(MID(TRIM(I56),6,2))-VALUE(MID(TRIM(K56),6,2)),""))</f>
        <v>15</v>
      </c>
      <c r="M56" s="2" t="str">
        <f>IF(TRIM(H56)="","",IFERROR(LOOKUP(2,1/(ISNUMBER(SEARCH('منطق دسته‌بندی'!$A$2:$A$187,H56))),'منطق دسته‌بندی'!$B$2:$B$187),"سایر (نیازمند بررسی دستی)"))</f>
        <v>خرابی - شیربرقی (تعویض)</v>
      </c>
      <c r="N56" s="2" t="s">
        <v>1256</v>
      </c>
      <c r="O56" s="2" t="str" cm="1">
        <f t="array" ref="O56">IF(A56="","",IF(SUMPRODUCT(($B$2:$B$965=B56)*($C$2:$C$965=C56)*($D$2:$D$965=D56)*($E$2:$E$965=E56)*($F$2:$F$965=F56)*($G$2:$G$965=G56)*($H$2:$H$965=H56)*($I$2:$I$965=I56)*($J$2:$J$965=J56)*($K$2:$K$965=K56)*($N$2:$N$965=N56))=1,"خیر",IF(SUMPRODUCT(($B$2:B56=B56)*($C$2:C56=C56)*($D$2:D56=D56)*($E$2:E56=E56)*($F$2:F56=F56)*($G$2:G56=G56)*($H$2:H56=H56)*($I$2:I56=I56)*($J$2:J56=J56)*($K$2:K56=K56)*($N$2:N56=N56))=1,"بله-1","بله")))</f>
        <v>خیر</v>
      </c>
      <c r="P56" s="5" t="str" cm="1">
        <f t="array" ref="P56">IF(A56="","",IF(SUMPRODUCT(($F$2:$F$969=F56)*($I$2:$I$969=I56))=1,"خیر",IF(SUMPRODUCT(($F$2:F56=F56)*($I$2:I56=I56))=1,"بله-1","بله")))</f>
        <v>خیر</v>
      </c>
    </row>
    <row r="57" spans="1:16" ht="18.75" x14ac:dyDescent="0.25">
      <c r="A57" s="2" t="s">
        <v>1072</v>
      </c>
      <c r="B57" s="2" t="s">
        <v>1040</v>
      </c>
      <c r="C57" s="2" t="s">
        <v>1041</v>
      </c>
      <c r="D57" s="2" t="s">
        <v>122</v>
      </c>
      <c r="E57" s="15" t="s">
        <v>123</v>
      </c>
      <c r="F57" s="2" t="s">
        <v>1073</v>
      </c>
      <c r="G57" s="2" t="s">
        <v>1074</v>
      </c>
      <c r="H57" s="2" t="s">
        <v>1075</v>
      </c>
      <c r="I57" s="2" t="s">
        <v>1076</v>
      </c>
      <c r="J57" s="2" t="s">
        <v>1077</v>
      </c>
      <c r="K57" s="2"/>
      <c r="L57" s="3" t="str">
        <f>IF(OR(TRIM(I57)="",TRIM(K57)=""),"",IFERROR((VALUE(LEFT(TRIM(I57),4))-VALUE(LEFT(TRIM(K57),4)))*12+VALUE(MID(TRIM(I57),6,2))-VALUE(MID(TRIM(K57),6,2)),""))</f>
        <v/>
      </c>
      <c r="M57" s="2" t="str">
        <f>IF(TRIM(H57)="","",IFERROR(LOOKUP(2,1/(ISNUMBER(SEARCH('منطق دسته‌بندی'!$A$2:$A$187,H57))),'منطق دسته‌بندی'!$B$2:$B$187),"سایر (نیازمند بررسی دستی)"))</f>
        <v>یخساز - قالب/کاور (تعویض/بازبینی)</v>
      </c>
      <c r="N57" s="2" t="s">
        <v>1078</v>
      </c>
      <c r="O57" s="2" t="str" cm="1">
        <f t="array" ref="O57">IF(A57="","",IF(SUMPRODUCT(($B$2:$B$965=B57)*($C$2:$C$965=C57)*($D$2:$D$965=D57)*($E$2:$E$965=E57)*($F$2:$F$965=F57)*($G$2:$G$965=G57)*($H$2:$H$965=H57)*($I$2:$I$965=I57)*($J$2:$J$965=J57)*($K$2:$K$965=K57)*($N$2:$N$965=N57))=1,"خیر",IF(SUMPRODUCT(($B$2:B57=B57)*($C$2:C57=C57)*($D$2:D57=D57)*($E$2:E57=E57)*($F$2:F57=F57)*($G$2:G57=G57)*($H$2:H57=H57)*($I$2:I57=I57)*($J$2:J57=J57)*($K$2:K57=K57)*($N$2:N57=N57))=1,"بله-1","بله")))</f>
        <v>خیر</v>
      </c>
      <c r="P57" s="5" t="str" cm="1">
        <f t="array" ref="P57">IF(A57="","",IF(SUMPRODUCT(($F$2:$F$969=F57)*($I$2:$I$969=I57))=1,"خیر",IF(SUMPRODUCT(($F$2:F57=F57)*($I$2:I57=I57))=1,"بله-1","بله")))</f>
        <v>خیر</v>
      </c>
    </row>
    <row r="58" spans="1:16" ht="37.5" x14ac:dyDescent="0.25">
      <c r="A58" s="2" t="s">
        <v>438</v>
      </c>
      <c r="B58" s="2" t="s">
        <v>16</v>
      </c>
      <c r="C58" s="2" t="s">
        <v>17</v>
      </c>
      <c r="D58" s="2" t="s">
        <v>122</v>
      </c>
      <c r="E58" s="2" t="s">
        <v>123</v>
      </c>
      <c r="F58" s="2" t="s">
        <v>439</v>
      </c>
      <c r="G58" s="2" t="s">
        <v>204</v>
      </c>
      <c r="H58" s="2" t="s">
        <v>266</v>
      </c>
      <c r="I58" s="2" t="s">
        <v>435</v>
      </c>
      <c r="J58" s="2" t="s">
        <v>440</v>
      </c>
      <c r="K58" s="2" t="s">
        <v>298</v>
      </c>
      <c r="L58" s="3">
        <f>IF(OR(TRIM(I58)="",TRIM(K58)=""),"",IFERROR((VALUE(LEFT(TRIM(I58),4))-VALUE(LEFT(TRIM(K58),4)))*12+VALUE(MID(TRIM(I58),6,2))-VALUE(MID(TRIM(K58),6,2)),""))</f>
        <v>1</v>
      </c>
      <c r="M58" s="2" t="str">
        <f>IF(TRIM(H58)="","",IFERROR(LOOKUP(2,1/(ISNUMBER(SEARCH('منطق دسته‌بندی'!$A$2:$A$187,H58))),'منطق دسته‌بندی'!$B$2:$B$187),"سایر (نیازمند بررسی دستی)"))</f>
        <v>خرابی - برد الکترونیک (تعویض)</v>
      </c>
      <c r="N58" s="2" t="s">
        <v>268</v>
      </c>
      <c r="O58" s="2" t="str" cm="1">
        <f t="array" ref="O58">IF(A58="","",IF(SUMPRODUCT(($B$2:$B$965=B58)*($C$2:$C$965=C58)*($D$2:$D$965=D58)*($E$2:$E$965=E58)*($F$2:$F$965=F58)*($G$2:$G$965=G58)*($H$2:$H$965=H58)*($I$2:$I$965=I58)*($J$2:$J$965=J58)*($K$2:$K$965=K58)*($N$2:$N$965=N58))=1,"خیر",IF(SUMPRODUCT(($B$2:B58=B58)*($C$2:C58=C58)*($D$2:D58=D58)*($E$2:E58=E58)*($F$2:F58=F58)*($G$2:G58=G58)*($H$2:H58=H58)*($I$2:I58=I58)*($J$2:J58=J58)*($K$2:K58=K58)*($N$2:N58=N58))=1,"بله-1","بله")))</f>
        <v>خیر</v>
      </c>
      <c r="P58" s="5" t="str" cm="1">
        <f t="array" ref="P58">IF(A58="","",IF(SUMPRODUCT(($F$2:$F$969=F58)*($I$2:$I$969=I58))=1,"خیر",IF(SUMPRODUCT(($F$2:F58=F58)*($I$2:I58=I58))=1,"بله-1","بله")))</f>
        <v>خیر</v>
      </c>
    </row>
    <row r="59" spans="1:16" ht="18.75" x14ac:dyDescent="0.25">
      <c r="A59" s="2" t="s">
        <v>393</v>
      </c>
      <c r="B59" s="2" t="s">
        <v>16</v>
      </c>
      <c r="C59" s="2" t="s">
        <v>17</v>
      </c>
      <c r="D59" s="2" t="s">
        <v>122</v>
      </c>
      <c r="E59" s="2" t="s">
        <v>123</v>
      </c>
      <c r="F59" s="2" t="s">
        <v>394</v>
      </c>
      <c r="G59" s="2" t="s">
        <v>204</v>
      </c>
      <c r="H59" s="2" t="s">
        <v>1787</v>
      </c>
      <c r="I59" s="2" t="s">
        <v>364</v>
      </c>
      <c r="J59" s="2" t="s">
        <v>395</v>
      </c>
      <c r="K59" s="2" t="s">
        <v>396</v>
      </c>
      <c r="L59" s="3">
        <f>IF(OR(TRIM(I59)="",TRIM(K59)=""),"",IFERROR((VALUE(LEFT(TRIM(I59),4))-VALUE(LEFT(TRIM(K59),4)))*12+VALUE(MID(TRIM(I59),6,2))-VALUE(MID(TRIM(K59),6,2)),""))</f>
        <v>8</v>
      </c>
      <c r="M59" s="2" t="str">
        <f>IF(TRIM(H59)="","",IFERROR(LOOKUP(2,1/(ISNUMBER(SEARCH('منطق دسته‌بندی'!$A$2:$A$187,H59))),'منطق دسته‌بندی'!$B$2:$B$187),"سایر (نیازمند بررسی دستی)"))</f>
        <v>یخساز - خرابی موتور/سنسور/برد (تعویض)</v>
      </c>
      <c r="N59" s="2" t="s">
        <v>24</v>
      </c>
      <c r="O59" s="2" t="str" cm="1">
        <f t="array" ref="O59">IF(A59="","",IF(SUMPRODUCT(($B$2:$B$965=B59)*($C$2:$C$965=C59)*($D$2:$D$965=D59)*($E$2:$E$965=E59)*($F$2:$F$965=F59)*($G$2:$G$965=G59)*($H$2:$H$965=H59)*($I$2:$I$965=I59)*($J$2:$J$965=J59)*($K$2:$K$965=K59)*($N$2:$N$965=N59))=1,"خیر",IF(SUMPRODUCT(($B$2:B59=B59)*($C$2:C59=C59)*($D$2:D59=D59)*($E$2:E59=E59)*($F$2:F59=F59)*($G$2:G59=G59)*($H$2:H59=H59)*($I$2:I59=I59)*($J$2:J59=J59)*($K$2:K59=K59)*($N$2:N59=N59))=1,"بله-1","بله")))</f>
        <v>خیر</v>
      </c>
      <c r="P59" s="5" t="str" cm="1">
        <f t="array" ref="P59">IF(A59="","",IF(SUMPRODUCT(($F$2:$F$969=F59)*($I$2:$I$969=I59))=1,"خیر",IF(SUMPRODUCT(($F$2:F59=F59)*($I$2:I59=I59))=1,"بله-1","بله")))</f>
        <v>خیر</v>
      </c>
    </row>
    <row r="60" spans="1:16" ht="18.75" x14ac:dyDescent="0.25">
      <c r="A60" s="2" t="s">
        <v>717</v>
      </c>
      <c r="B60" s="2" t="s">
        <v>632</v>
      </c>
      <c r="C60" s="2" t="s">
        <v>633</v>
      </c>
      <c r="D60" s="2" t="s">
        <v>122</v>
      </c>
      <c r="E60" s="2" t="s">
        <v>123</v>
      </c>
      <c r="F60" s="2" t="s">
        <v>718</v>
      </c>
      <c r="G60" s="2" t="s">
        <v>204</v>
      </c>
      <c r="H60" s="2" t="s">
        <v>719</v>
      </c>
      <c r="I60" s="2" t="s">
        <v>710</v>
      </c>
      <c r="J60" s="2" t="s">
        <v>395</v>
      </c>
      <c r="K60" s="2" t="s">
        <v>435</v>
      </c>
      <c r="L60" s="3">
        <f>IF(OR(TRIM(I60)="",TRIM(K60)=""),"",IFERROR((VALUE(LEFT(TRIM(I60),4))-VALUE(LEFT(TRIM(K60),4)))*12+VALUE(MID(TRIM(I60),6,2))-VALUE(MID(TRIM(K60),6,2)),""))</f>
        <v>1</v>
      </c>
      <c r="M60" s="2" t="str">
        <f>IF(TRIM(H60)="","",IFERROR(LOOKUP(2,1/(ISNUMBER(SEARCH('منطق دسته‌بندی'!$A$2:$A$187,H60))),'منطق دسته‌بندی'!$B$2:$B$187),"سایر (نیازمند بررسی دستی)"))</f>
        <v>یخساز - تنظیم/عایق (تعمیر)</v>
      </c>
      <c r="N60" s="2" t="s">
        <v>24</v>
      </c>
      <c r="O60" s="2" t="str" cm="1">
        <f t="array" ref="O60">IF(A60="","",IF(SUMPRODUCT(($B$2:$B$965=B60)*($C$2:$C$965=C60)*($D$2:$D$965=D60)*($E$2:$E$965=E60)*($F$2:$F$965=F60)*($G$2:$G$965=G60)*($H$2:$H$965=H60)*($I$2:$I$965=I60)*($J$2:$J$965=J60)*($K$2:$K$965=K60)*($N$2:$N$965=N60))=1,"خیر",IF(SUMPRODUCT(($B$2:B60=B60)*($C$2:C60=C60)*($D$2:D60=D60)*($E$2:E60=E60)*($F$2:F60=F60)*($G$2:G60=G60)*($H$2:H60=H60)*($I$2:I60=I60)*($J$2:J60=J60)*($K$2:K60=K60)*($N$2:N60=N60))=1,"بله-1","بله")))</f>
        <v>خیر</v>
      </c>
      <c r="P60" s="5" t="str" cm="1">
        <f t="array" ref="P60">IF(A60="","",IF(SUMPRODUCT(($F$2:$F$969=F60)*($I$2:$I$969=I60))=1,"خیر",IF(SUMPRODUCT(($F$2:F60=F60)*($I$2:I60=I60))=1,"بله-1","بله")))</f>
        <v>خیر</v>
      </c>
    </row>
    <row r="61" spans="1:16" ht="56.25" x14ac:dyDescent="0.25">
      <c r="A61" s="2">
        <v>810006455</v>
      </c>
      <c r="B61" s="2" t="s">
        <v>1950</v>
      </c>
      <c r="C61" s="2" t="s">
        <v>1951</v>
      </c>
      <c r="D61" s="2" t="s">
        <v>122</v>
      </c>
      <c r="E61" s="2" t="s">
        <v>123</v>
      </c>
      <c r="F61" s="2" t="s">
        <v>1496</v>
      </c>
      <c r="G61" s="2" t="s">
        <v>1419</v>
      </c>
      <c r="H61" s="2" t="s">
        <v>1497</v>
      </c>
      <c r="I61" s="2" t="s">
        <v>1474</v>
      </c>
      <c r="J61" s="2" t="s">
        <v>440</v>
      </c>
      <c r="K61" s="2" t="s">
        <v>1498</v>
      </c>
      <c r="L61" s="3">
        <f>IF(OR(TRIM(I61)="",TRIM(K61)=""),"",IFERROR((VALUE(LEFT(TRIM(I61),4))-VALUE(LEFT(TRIM(K61),4)))*12+VALUE(MID(TRIM(I61),6,2))-VALUE(MID(TRIM(K61),6,2)),""))</f>
        <v>14</v>
      </c>
      <c r="M61" s="2" t="str">
        <f>IF(TRIM(H61)="","",IFERROR(LOOKUP(2,1/(ISNUMBER(SEARCH('منطق دسته‌بندی'!$A$2:$A$187,H61))),'منطق دسته‌بندی'!$B$2:$B$187),"سایر (نیازمند بررسی دستی)"))</f>
        <v>یخساز - تنظیم/عایق (تعمیر)</v>
      </c>
      <c r="N61" s="2" t="s">
        <v>1499</v>
      </c>
      <c r="O61" s="2" t="str" cm="1">
        <f t="array" ref="O61">IF(A61="","",IF(SUMPRODUCT(($B$2:$B$965=B61)*($C$2:$C$965=C61)*($D$2:$D$965=D61)*($E$2:$E$965=E61)*($F$2:$F$965=F61)*($G$2:$G$965=G61)*($H$2:$H$965=H61)*($I$2:$I$965=I61)*($J$2:$J$965=J61)*($K$2:$K$965=K61)*($N$2:$N$965=N61))=1,"خیر",IF(SUMPRODUCT(($B$2:B61=B61)*($C$2:C61=C61)*($D$2:D61=D61)*($E$2:E61=E61)*($F$2:F61=F61)*($G$2:G61=G61)*($H$2:H61=H61)*($I$2:I61=I61)*($J$2:J61=J61)*($K$2:K61=K61)*($N$2:N61=N61))=1,"بله-1","بله")))</f>
        <v>خیر</v>
      </c>
      <c r="P61" s="5" t="str" cm="1">
        <f t="array" ref="P61">IF(A61="","",IF(SUMPRODUCT(($F$2:$F$969=F61)*($I$2:$I$969=I61))=1,"خیر",IF(SUMPRODUCT(($F$2:F61=F61)*($I$2:I61=I61))=1,"بله-1","بله")))</f>
        <v>خیر</v>
      </c>
    </row>
    <row r="62" spans="1:16" ht="18.75" x14ac:dyDescent="0.25">
      <c r="A62" s="2" t="s">
        <v>799</v>
      </c>
      <c r="B62" s="2" t="s">
        <v>632</v>
      </c>
      <c r="C62" s="2" t="s">
        <v>633</v>
      </c>
      <c r="D62" s="2" t="s">
        <v>122</v>
      </c>
      <c r="E62" s="2" t="s">
        <v>123</v>
      </c>
      <c r="F62" s="2" t="s">
        <v>800</v>
      </c>
      <c r="G62" s="2" t="s">
        <v>801</v>
      </c>
      <c r="H62" s="2" t="s">
        <v>272</v>
      </c>
      <c r="I62" s="2" t="s">
        <v>737</v>
      </c>
      <c r="J62" s="2" t="s">
        <v>440</v>
      </c>
      <c r="K62" s="2" t="s">
        <v>473</v>
      </c>
      <c r="L62" s="3">
        <f>IF(OR(TRIM(I62)="",TRIM(K62)=""),"",IFERROR((VALUE(LEFT(TRIM(I62),4))-VALUE(LEFT(TRIM(K62),4)))*12+VALUE(MID(TRIM(I62),6,2))-VALUE(MID(TRIM(K62),6,2)),""))</f>
        <v>9</v>
      </c>
      <c r="M62" s="2" t="str">
        <f>IF(TRIM(H62)="","",IFERROR(LOOKUP(2,1/(ISNUMBER(SEARCH('منطق دسته‌بندی'!$A$2:$A$187,H62))),'منطق دسته‌بندی'!$B$2:$B$187),"سایر (نیازمند بررسی دستی)"))</f>
        <v>یخساز - تنظیم/عایق (تعمیر)</v>
      </c>
      <c r="N62" s="2" t="s">
        <v>24</v>
      </c>
      <c r="O62" s="2" t="str" cm="1">
        <f t="array" ref="O62">IF(A62="","",IF(SUMPRODUCT(($B$2:$B$965=B62)*($C$2:$C$965=C62)*($D$2:$D$965=D62)*($E$2:$E$965=E62)*($F$2:$F$965=F62)*($G$2:$G$965=G62)*($H$2:$H$965=H62)*($I$2:$I$965=I62)*($J$2:$J$965=J62)*($K$2:$K$965=K62)*($N$2:$N$965=N62))=1,"خیر",IF(SUMPRODUCT(($B$2:B62=B62)*($C$2:C62=C62)*($D$2:D62=D62)*($E$2:E62=E62)*($F$2:F62=F62)*($G$2:G62=G62)*($H$2:H62=H62)*($I$2:I62=I62)*($J$2:J62=J62)*($K$2:K62=K62)*($N$2:N62=N62))=1,"بله-1","بله")))</f>
        <v>خیر</v>
      </c>
      <c r="P62" s="5" t="str" cm="1">
        <f t="array" ref="P62">IF(A62="","",IF(SUMPRODUCT(($F$2:$F$969=F62)*($I$2:$I$969=I62))=1,"خیر",IF(SUMPRODUCT(($F$2:F62=F62)*($I$2:I62=I62))=1,"بله-1","بله")))</f>
        <v>خیر</v>
      </c>
    </row>
    <row r="63" spans="1:16" ht="37.5" x14ac:dyDescent="0.25">
      <c r="A63" s="2">
        <v>210021013</v>
      </c>
      <c r="B63" s="2" t="s">
        <v>1040</v>
      </c>
      <c r="C63" s="2" t="s">
        <v>1041</v>
      </c>
      <c r="D63" s="2" t="s">
        <v>122</v>
      </c>
      <c r="E63" s="2" t="s">
        <v>123</v>
      </c>
      <c r="F63" s="2" t="s">
        <v>800</v>
      </c>
      <c r="G63" s="2" t="s">
        <v>1419</v>
      </c>
      <c r="H63" s="2" t="s">
        <v>1398</v>
      </c>
      <c r="I63" s="2" t="s">
        <v>1429</v>
      </c>
      <c r="J63" s="2" t="s">
        <v>440</v>
      </c>
      <c r="K63" s="2" t="s">
        <v>473</v>
      </c>
      <c r="L63" s="3">
        <f>IF(OR(TRIM(I63)="",TRIM(K63)=""),"",IFERROR((VALUE(LEFT(TRIM(I63),4))-VALUE(LEFT(TRIM(K63),4)))*12+VALUE(MID(TRIM(I63),6,2))-VALUE(MID(TRIM(K63),6,2)),""))</f>
        <v>12</v>
      </c>
      <c r="M63" s="2" t="str">
        <f>IF(TRIM(H63)="","",IFERROR(LOOKUP(2,1/(ISNUMBER(SEARCH('منطق دسته‌بندی'!$A$2:$A$187,H63))),'منطق دسته‌بندی'!$B$2:$B$187),"سایر (نیازمند بررسی دستی)"))</f>
        <v>یخساز - تنظیم/عایق (تعمیر)</v>
      </c>
      <c r="N63" s="2" t="s">
        <v>1421</v>
      </c>
      <c r="O63" s="2" t="str" cm="1">
        <f t="array" ref="O63">IF(A63="","",IF(SUMPRODUCT(($B$2:$B$965=B63)*($C$2:$C$965=C63)*($D$2:$D$965=D63)*($E$2:$E$965=E63)*($F$2:$F$965=F63)*($G$2:$G$965=G63)*($H$2:$H$965=H63)*($I$2:$I$965=I63)*($J$2:$J$965=J63)*($K$2:$K$965=K63)*($N$2:$N$965=N63))=1,"خیر",IF(SUMPRODUCT(($B$2:B63=B63)*($C$2:C63=C63)*($D$2:D63=D63)*($E$2:E63=E63)*($F$2:F63=F63)*($G$2:G63=G63)*($H$2:H63=H63)*($I$2:I63=I63)*($J$2:J63=J63)*($K$2:K63=K63)*($N$2:N63=N63))=1,"بله-1","بله")))</f>
        <v>خیر</v>
      </c>
      <c r="P63" s="5" t="str" cm="1">
        <f t="array" ref="P63">IF(A63="","",IF(SUMPRODUCT(($F$2:$F$969=F63)*($I$2:$I$969=I63))=1,"خیر",IF(SUMPRODUCT(($F$2:F63=F63)*($I$2:I63=I63))=1,"بله-1","بله")))</f>
        <v>خیر</v>
      </c>
    </row>
    <row r="64" spans="1:16" ht="18.75" x14ac:dyDescent="0.25">
      <c r="A64" s="2" t="s">
        <v>1178</v>
      </c>
      <c r="B64" s="2" t="s">
        <v>1040</v>
      </c>
      <c r="C64" s="2" t="s">
        <v>1041</v>
      </c>
      <c r="D64" s="2" t="s">
        <v>122</v>
      </c>
      <c r="E64" s="2" t="s">
        <v>123</v>
      </c>
      <c r="F64" s="2" t="s">
        <v>1179</v>
      </c>
      <c r="G64" s="2" t="s">
        <v>608</v>
      </c>
      <c r="H64" s="2" t="s">
        <v>1180</v>
      </c>
      <c r="I64" s="2" t="s">
        <v>1176</v>
      </c>
      <c r="J64" s="2" t="s">
        <v>896</v>
      </c>
      <c r="K64" s="2" t="s">
        <v>630</v>
      </c>
      <c r="L64" s="3">
        <f>IF(OR(TRIM(I64)="",TRIM(K64)=""),"",IFERROR((VALUE(LEFT(TRIM(I64),4))-VALUE(LEFT(TRIM(K64),4)))*12+VALUE(MID(TRIM(I64),6,2))-VALUE(MID(TRIM(K64),6,2)),""))</f>
        <v>12</v>
      </c>
      <c r="M64" s="2" t="str">
        <f>IF(TRIM(H64)="","",IFERROR(LOOKUP(2,1/(ISNUMBER(SEARCH('منطق دسته‌بندی'!$A$2:$A$187,H64))),'منطق دسته‌بندی'!$B$2:$B$187),"سایر (نیازمند بررسی دستی)"))</f>
        <v>سایر اجزای درب (بازبینی)</v>
      </c>
      <c r="N64" s="2" t="s">
        <v>24</v>
      </c>
      <c r="O64" s="2" t="str" cm="1">
        <f t="array" ref="O64">IF(A64="","",IF(SUMPRODUCT(($B$2:$B$965=B64)*($C$2:$C$965=C64)*($D$2:$D$965=D64)*($E$2:$E$965=E64)*($F$2:$F$965=F64)*($G$2:$G$965=G64)*($H$2:$H$965=H64)*($I$2:$I$965=I64)*($J$2:$J$965=J64)*($K$2:$K$965=K64)*($N$2:$N$965=N64))=1,"خیر",IF(SUMPRODUCT(($B$2:B64=B64)*($C$2:C64=C64)*($D$2:D64=D64)*($E$2:E64=E64)*($F$2:F64=F64)*($G$2:G64=G64)*($H$2:H64=H64)*($I$2:I64=I64)*($J$2:J64=J64)*($K$2:K64=K64)*($N$2:N64=N64))=1,"بله-1","بله")))</f>
        <v>خیر</v>
      </c>
      <c r="P64" s="5" t="str" cm="1">
        <f t="array" ref="P64">IF(A64="","",IF(SUMPRODUCT(($F$2:$F$969=F64)*($I$2:$I$969=I64))=1,"خیر",IF(SUMPRODUCT(($F$2:F64=F64)*($I$2:I64=I64))=1,"بله-1","بله")))</f>
        <v>خیر</v>
      </c>
    </row>
    <row r="65" spans="1:16" ht="37.5" x14ac:dyDescent="0.25">
      <c r="A65" s="2" t="s">
        <v>893</v>
      </c>
      <c r="B65" s="2" t="s">
        <v>881</v>
      </c>
      <c r="C65" s="2" t="s">
        <v>882</v>
      </c>
      <c r="D65" s="2" t="s">
        <v>122</v>
      </c>
      <c r="E65" s="2" t="s">
        <v>123</v>
      </c>
      <c r="F65" s="2" t="s">
        <v>894</v>
      </c>
      <c r="G65" s="2" t="s">
        <v>84</v>
      </c>
      <c r="H65" s="2" t="s">
        <v>895</v>
      </c>
      <c r="I65" s="2" t="s">
        <v>888</v>
      </c>
      <c r="J65" s="2" t="s">
        <v>896</v>
      </c>
      <c r="K65" s="2" t="s">
        <v>298</v>
      </c>
      <c r="L65" s="3">
        <f>IF(OR(TRIM(I65)="",TRIM(K65)=""),"",IFERROR((VALUE(LEFT(TRIM(I65),4))-VALUE(LEFT(TRIM(K65),4)))*12+VALUE(MID(TRIM(I65),6,2))-VALUE(MID(TRIM(K65),6,2)),""))</f>
        <v>3</v>
      </c>
      <c r="M65" s="2" t="str">
        <f>IF(TRIM(H65)="","",IFERROR(LOOKUP(2,1/(ISNUMBER(SEARCH('منطق دسته‌بندی'!$A$2:$A$187,H65))),'منطق دسته‌بندی'!$B$2:$B$187),"سایر (نیازمند بررسی دستی)"))</f>
        <v>نشتی - اتصال/فیتینگ (تعمیر/آب‌بندی)</v>
      </c>
      <c r="N65" s="2" t="s">
        <v>24</v>
      </c>
      <c r="O65" s="2" t="str" cm="1">
        <f t="array" ref="O65">IF(A65="","",IF(SUMPRODUCT(($B$2:$B$965=B65)*($C$2:$C$965=C65)*($D$2:$D$965=D65)*($E$2:$E$965=E65)*($F$2:$F$965=F65)*($G$2:$G$965=G65)*($H$2:$H$965=H65)*($I$2:$I$965=I65)*($J$2:$J$965=J65)*($K$2:$K$965=K65)*($N$2:$N$965=N65))=1,"خیر",IF(SUMPRODUCT(($B$2:B65=B65)*($C$2:C65=C65)*($D$2:D65=D65)*($E$2:E65=E65)*($F$2:F65=F65)*($G$2:G65=G65)*($H$2:H65=H65)*($I$2:I65=I65)*($J$2:J65=J65)*($K$2:K65=K65)*($N$2:N65=N65))=1,"بله-1","بله")))</f>
        <v>خیر</v>
      </c>
      <c r="P65" s="5" t="str" cm="1">
        <f t="array" ref="P65">IF(A65="","",IF(SUMPRODUCT(($F$2:$F$969=F65)*($I$2:$I$969=I65))=1,"خیر",IF(SUMPRODUCT(($F$2:F65=F65)*($I$2:I65=I65))=1,"بله-1","بله")))</f>
        <v>خیر</v>
      </c>
    </row>
    <row r="66" spans="1:16" ht="18.75" x14ac:dyDescent="0.25">
      <c r="A66" s="2">
        <v>510024998</v>
      </c>
      <c r="B66" s="2" t="s">
        <v>1950</v>
      </c>
      <c r="C66" s="2" t="s">
        <v>1951</v>
      </c>
      <c r="D66" s="2" t="s">
        <v>122</v>
      </c>
      <c r="E66" s="2" t="s">
        <v>123</v>
      </c>
      <c r="F66" s="2" t="s">
        <v>894</v>
      </c>
      <c r="G66" s="2" t="s">
        <v>1494</v>
      </c>
      <c r="H66" s="2" t="s">
        <v>1415</v>
      </c>
      <c r="I66" s="2" t="s">
        <v>1470</v>
      </c>
      <c r="J66" s="2" t="s">
        <v>896</v>
      </c>
      <c r="K66" s="2" t="s">
        <v>298</v>
      </c>
      <c r="L66" s="3">
        <f>IF(OR(TRIM(I66)="",TRIM(K66)=""),"",IFERROR((VALUE(LEFT(TRIM(I66),4))-VALUE(LEFT(TRIM(K66),4)))*12+VALUE(MID(TRIM(I66),6,2))-VALUE(MID(TRIM(K66),6,2)),""))</f>
        <v>6</v>
      </c>
      <c r="M66" s="2" t="str">
        <f>IF(TRIM(H66)="","",IFERROR(LOOKUP(2,1/(ISNUMBER(SEARCH('منطق دسته‌بندی'!$A$2:$A$187,H66))),'منطق دسته‌بندی'!$B$2:$B$187),"سایر (نیازمند بررسی دستی)"))</f>
        <v>خرابی - شیربرقی (تعویض)</v>
      </c>
      <c r="N66" s="2" t="s">
        <v>1418</v>
      </c>
      <c r="O66" s="2" t="str" cm="1">
        <f t="array" ref="O66">IF(A66="","",IF(SUMPRODUCT(($B$2:$B$965=B66)*($C$2:$C$965=C66)*($D$2:$D$965=D66)*($E$2:$E$965=E66)*($F$2:$F$965=F66)*($G$2:$G$965=G66)*($H$2:$H$965=H66)*($I$2:$I$965=I66)*($J$2:$J$965=J66)*($K$2:$K$965=K66)*($N$2:$N$965=N66))=1,"خیر",IF(SUMPRODUCT(($B$2:B66=B66)*($C$2:C66=C66)*($D$2:D66=D66)*($E$2:E66=E66)*($F$2:F66=F66)*($G$2:G66=G66)*($H$2:H66=H66)*($I$2:I66=I66)*($J$2:J66=J66)*($K$2:K66=K66)*($N$2:N66=N66))=1,"بله-1","بله")))</f>
        <v>خیر</v>
      </c>
      <c r="P66" s="5" t="str" cm="1">
        <f t="array" ref="P66">IF(A66="","",IF(SUMPRODUCT(($F$2:$F$969=F66)*($I$2:$I$969=I66))=1,"خیر",IF(SUMPRODUCT(($F$2:F66=F66)*($I$2:I66=I66))=1,"بله-1","بله")))</f>
        <v>خیر</v>
      </c>
    </row>
    <row r="67" spans="1:16" ht="37.5" x14ac:dyDescent="0.25">
      <c r="A67" s="2" t="s">
        <v>1014</v>
      </c>
      <c r="B67" s="2" t="s">
        <v>1015</v>
      </c>
      <c r="C67" s="2" t="s">
        <v>1016</v>
      </c>
      <c r="D67" s="2" t="s">
        <v>122</v>
      </c>
      <c r="E67" s="2" t="s">
        <v>123</v>
      </c>
      <c r="F67" s="2" t="s">
        <v>1017</v>
      </c>
      <c r="G67" s="2" t="s">
        <v>1018</v>
      </c>
      <c r="H67" s="2" t="s">
        <v>263</v>
      </c>
      <c r="I67" s="2" t="s">
        <v>1019</v>
      </c>
      <c r="J67" s="2" t="s">
        <v>1020</v>
      </c>
      <c r="K67" s="2" t="s">
        <v>1021</v>
      </c>
      <c r="L67" s="3">
        <f>IF(OR(TRIM(I67)="",TRIM(K67)=""),"",IFERROR((VALUE(LEFT(TRIM(I67),4))-VALUE(LEFT(TRIM(K67),4)))*12+VALUE(MID(TRIM(I67),6,2))-VALUE(MID(TRIM(K67),6,2)),""))</f>
        <v>1</v>
      </c>
      <c r="M67" s="2" t="str">
        <f>IF(TRIM(H67)="","",IFERROR(LOOKUP(2,1/(ISNUMBER(SEARCH('منطق دسته‌بندی'!$A$2:$A$187,H67))),'منطق دسته‌بندی'!$B$2:$B$187),"سایر (نیازمند بررسی دستی)"))</f>
        <v>یخساز - تنظیم/عایق (تعمیر)</v>
      </c>
      <c r="N67" s="2" t="s">
        <v>24</v>
      </c>
      <c r="O67" s="2" t="str" cm="1">
        <f t="array" ref="O67">IF(A67="","",IF(SUMPRODUCT(($B$2:$B$965=B67)*($C$2:$C$965=C67)*($D$2:$D$965=D67)*($E$2:$E$965=E67)*($F$2:$F$965=F67)*($G$2:$G$965=G67)*($H$2:$H$965=H67)*($I$2:$I$965=I67)*($J$2:$J$965=J67)*($K$2:$K$965=K67)*($N$2:$N$965=N67))=1,"خیر",IF(SUMPRODUCT(($B$2:B67=B67)*($C$2:C67=C67)*($D$2:D67=D67)*($E$2:E67=E67)*($F$2:F67=F67)*($G$2:G67=G67)*($H$2:H67=H67)*($I$2:I67=I67)*($J$2:J67=J67)*($K$2:K67=K67)*($N$2:N67=N67))=1,"بله-1","بله")))</f>
        <v>خیر</v>
      </c>
      <c r="P67" s="5" t="str" cm="1">
        <f t="array" ref="P67">IF(A67="","",IF(SUMPRODUCT(($F$2:$F$969=F67)*($I$2:$I$969=I67))=1,"خیر",IF(SUMPRODUCT(($F$2:F67=F67)*($I$2:I67=I67))=1,"بله-1","بله")))</f>
        <v>خیر</v>
      </c>
    </row>
    <row r="68" spans="1:16" ht="37.5" x14ac:dyDescent="0.25">
      <c r="A68" s="2" t="s">
        <v>880</v>
      </c>
      <c r="B68" s="2" t="s">
        <v>881</v>
      </c>
      <c r="C68" s="2" t="s">
        <v>882</v>
      </c>
      <c r="D68" s="2" t="s">
        <v>122</v>
      </c>
      <c r="E68" s="2" t="s">
        <v>123</v>
      </c>
      <c r="F68" s="2" t="s">
        <v>883</v>
      </c>
      <c r="G68" s="2" t="s">
        <v>204</v>
      </c>
      <c r="H68" s="2" t="s">
        <v>263</v>
      </c>
      <c r="I68" s="2" t="s">
        <v>884</v>
      </c>
      <c r="J68" s="2" t="s">
        <v>885</v>
      </c>
      <c r="K68" s="2" t="s">
        <v>282</v>
      </c>
      <c r="L68" s="3">
        <f>IF(OR(TRIM(I68)="",TRIM(K68)=""),"",IFERROR((VALUE(LEFT(TRIM(I68),4))-VALUE(LEFT(TRIM(K68),4)))*12+VALUE(MID(TRIM(I68),6,2))-VALUE(MID(TRIM(K68),6,2)),""))</f>
        <v>10</v>
      </c>
      <c r="M68" s="2" t="str">
        <f>IF(TRIM(H68)="","",IFERROR(LOOKUP(2,1/(ISNUMBER(SEARCH('منطق دسته‌بندی'!$A$2:$A$187,H68))),'منطق دسته‌بندی'!$B$2:$B$187),"سایر (نیازمند بررسی دستی)"))</f>
        <v>یخساز - تنظیم/عایق (تعمیر)</v>
      </c>
      <c r="N68" s="2" t="s">
        <v>24</v>
      </c>
      <c r="O68" s="2" t="str" cm="1">
        <f t="array" ref="O68">IF(A68="","",IF(SUMPRODUCT(($B$2:$B$965=B68)*($C$2:$C$965=C68)*($D$2:$D$965=D68)*($E$2:$E$965=E68)*($F$2:$F$965=F68)*($G$2:$G$965=G68)*($H$2:$H$965=H68)*($I$2:$I$965=I68)*($J$2:$J$965=J68)*($K$2:$K$965=K68)*($N$2:$N$965=N68))=1,"خیر",IF(SUMPRODUCT(($B$2:B68=B68)*($C$2:C68=C68)*($D$2:D68=D68)*($E$2:E68=E68)*($F$2:F68=F68)*($G$2:G68=G68)*($H$2:H68=H68)*($I$2:I68=I68)*($J$2:J68=J68)*($K$2:K68=K68)*($N$2:N68=N68))=1,"بله-1","بله")))</f>
        <v>خیر</v>
      </c>
      <c r="P68" s="5" t="str" cm="1">
        <f t="array" ref="P68">IF(A68="","",IF(SUMPRODUCT(($F$2:$F$969=F68)*($I$2:$I$969=I68))=1,"خیر",IF(SUMPRODUCT(($F$2:F68=F68)*($I$2:I68=I68))=1,"بله-1","بله")))</f>
        <v>خیر</v>
      </c>
    </row>
    <row r="69" spans="1:16" ht="18.75" x14ac:dyDescent="0.25">
      <c r="A69" s="2" t="s">
        <v>1234</v>
      </c>
      <c r="B69" s="2" t="s">
        <v>1040</v>
      </c>
      <c r="C69" s="2" t="s">
        <v>1041</v>
      </c>
      <c r="D69" s="2" t="s">
        <v>122</v>
      </c>
      <c r="E69" s="2" t="s">
        <v>123</v>
      </c>
      <c r="F69" s="2" t="s">
        <v>1235</v>
      </c>
      <c r="G69" s="2" t="s">
        <v>250</v>
      </c>
      <c r="H69" s="2" t="s">
        <v>927</v>
      </c>
      <c r="I69" s="2" t="s">
        <v>1236</v>
      </c>
      <c r="J69" s="2" t="s">
        <v>885</v>
      </c>
      <c r="K69" s="2" t="s">
        <v>315</v>
      </c>
      <c r="L69" s="3">
        <f>IF(OR(TRIM(I69)="",TRIM(K69)=""),"",IFERROR((VALUE(LEFT(TRIM(I69),4))-VALUE(LEFT(TRIM(K69),4)))*12+VALUE(MID(TRIM(I69),6,2))-VALUE(MID(TRIM(K69),6,2)),""))</f>
        <v>13</v>
      </c>
      <c r="M69" s="2" t="str">
        <f>IF(TRIM(H69)="","",IFERROR(LOOKUP(2,1/(ISNUMBER(SEARCH('منطق دسته‌بندی'!$A$2:$A$187,H69))),'منطق دسته‌بندی'!$B$2:$B$187),"سایر (نیازمند بررسی دستی)"))</f>
        <v>یخساز - خرابی سنسور (تعویض)</v>
      </c>
      <c r="N69" s="2" t="s">
        <v>1237</v>
      </c>
      <c r="O69" s="2" t="str" cm="1">
        <f t="array" ref="O69">IF(A69="","",IF(SUMPRODUCT(($B$2:$B$965=B69)*($C$2:$C$965=C69)*($D$2:$D$965=D69)*($E$2:$E$965=E69)*($F$2:$F$965=F69)*($G$2:$G$965=G69)*($H$2:$H$965=H69)*($I$2:$I$965=I69)*($J$2:$J$965=J69)*($K$2:$K$965=K69)*($N$2:$N$965=N69))=1,"خیر",IF(SUMPRODUCT(($B$2:B69=B69)*($C$2:C69=C69)*($D$2:D69=D69)*($E$2:E69=E69)*($F$2:F69=F69)*($G$2:G69=G69)*($H$2:H69=H69)*($I$2:I69=I69)*($J$2:J69=J69)*($K$2:K69=K69)*($N$2:N69=N69))=1,"بله-1","بله")))</f>
        <v>خیر</v>
      </c>
      <c r="P69" s="5" t="str" cm="1">
        <f t="array" ref="P69">IF(A69="","",IF(SUMPRODUCT(($F$2:$F$969=F69)*($I$2:$I$969=I69))=1,"خیر",IF(SUMPRODUCT(($F$2:F69=F69)*($I$2:I69=I69))=1,"بله-1","بله")))</f>
        <v>خیر</v>
      </c>
    </row>
    <row r="70" spans="1:16" ht="37.5" x14ac:dyDescent="0.25">
      <c r="A70" s="2">
        <v>210023343</v>
      </c>
      <c r="B70" s="2" t="s">
        <v>1950</v>
      </c>
      <c r="C70" s="2" t="s">
        <v>1951</v>
      </c>
      <c r="D70" s="2" t="s">
        <v>122</v>
      </c>
      <c r="E70" s="2" t="s">
        <v>123</v>
      </c>
      <c r="F70" s="2" t="s">
        <v>1493</v>
      </c>
      <c r="G70" s="2" t="s">
        <v>1494</v>
      </c>
      <c r="H70" s="2" t="s">
        <v>1409</v>
      </c>
      <c r="I70" s="2" t="s">
        <v>1474</v>
      </c>
      <c r="J70" s="2" t="s">
        <v>267</v>
      </c>
      <c r="K70" s="2" t="s">
        <v>830</v>
      </c>
      <c r="L70" s="3">
        <f>IF(OR(TRIM(I70)="",TRIM(K70)=""),"",IFERROR((VALUE(LEFT(TRIM(I70),4))-VALUE(LEFT(TRIM(K70),4)))*12+VALUE(MID(TRIM(I70),6,2))-VALUE(MID(TRIM(K70),6,2)),""))</f>
        <v>12</v>
      </c>
      <c r="M70" s="2" t="str">
        <f>IF(TRIM(H70)="","",IFERROR(LOOKUP(2,1/(ISNUMBER(SEARCH('منطق دسته‌بندی'!$A$2:$A$187,H70))),'منطق دسته‌بندی'!$B$2:$B$187),"سایر (نیازمند بررسی دستی)"))</f>
        <v>یخساز - خرابی موتور (تعویض)</v>
      </c>
      <c r="N70" s="2" t="s">
        <v>1495</v>
      </c>
      <c r="O70" s="2" t="str" cm="1">
        <f t="array" ref="O70">IF(A70="","",IF(SUMPRODUCT(($B$2:$B$965=B70)*($C$2:$C$965=C70)*($D$2:$D$965=D70)*($E$2:$E$965=E70)*($F$2:$F$965=F70)*($G$2:$G$965=G70)*($H$2:$H$965=H70)*($I$2:$I$965=I70)*($J$2:$J$965=J70)*($K$2:$K$965=K70)*($N$2:$N$965=N70))=1,"خیر",IF(SUMPRODUCT(($B$2:B70=B70)*($C$2:C70=C70)*($D$2:D70=D70)*($E$2:E70=E70)*($F$2:F70=F70)*($G$2:G70=G70)*($H$2:H70=H70)*($I$2:I70=I70)*($J$2:J70=J70)*($K$2:K70=K70)*($N$2:N70=N70))=1,"بله-1","بله")))</f>
        <v>خیر</v>
      </c>
      <c r="P70" s="5" t="str" cm="1">
        <f t="array" ref="P70">IF(A70="","",IF(SUMPRODUCT(($F$2:$F$969=F70)*($I$2:$I$969=I70))=1,"خیر",IF(SUMPRODUCT(($F$2:F70=F70)*($I$2:I70=I70))=1,"بله-1","بله")))</f>
        <v>خیر</v>
      </c>
    </row>
    <row r="71" spans="1:16" ht="18.75" x14ac:dyDescent="0.25">
      <c r="A71" s="2" t="s">
        <v>1282</v>
      </c>
      <c r="B71" s="2" t="s">
        <v>1040</v>
      </c>
      <c r="C71" s="2" t="s">
        <v>1041</v>
      </c>
      <c r="D71" s="2" t="s">
        <v>122</v>
      </c>
      <c r="E71" s="2" t="s">
        <v>123</v>
      </c>
      <c r="F71" s="2" t="s">
        <v>1283</v>
      </c>
      <c r="G71" s="2" t="s">
        <v>204</v>
      </c>
      <c r="H71" s="2" t="s">
        <v>1284</v>
      </c>
      <c r="I71" s="2" t="s">
        <v>1280</v>
      </c>
      <c r="J71" s="2" t="s">
        <v>267</v>
      </c>
      <c r="K71" s="2" t="s">
        <v>1285</v>
      </c>
      <c r="L71" s="3">
        <f>IF(OR(TRIM(I71)="",TRIM(K71)=""),"",IFERROR((VALUE(LEFT(TRIM(I71),4))-VALUE(LEFT(TRIM(K71),4)))*12+VALUE(MID(TRIM(I71),6,2))-VALUE(MID(TRIM(K71),6,2)),""))</f>
        <v>6</v>
      </c>
      <c r="M71" s="2" t="str">
        <f>IF(TRIM(H71)="","",IFERROR(LOOKUP(2,1/(ISNUMBER(SEARCH('منطق دسته‌بندی'!$A$2:$A$187,H71))),'منطق دسته‌بندی'!$B$2:$B$187),"سایر (نیازمند بررسی دستی)"))</f>
        <v>یخساز - خرابی سنسور (تعویض)</v>
      </c>
      <c r="N71" s="2" t="s">
        <v>24</v>
      </c>
      <c r="O71" s="2" t="str" cm="1">
        <f t="array" ref="O71">IF(A71="","",IF(SUMPRODUCT(($B$2:$B$965=B71)*($C$2:$C$965=C71)*($D$2:$D$965=D71)*($E$2:$E$965=E71)*($F$2:$F$965=F71)*($G$2:$G$965=G71)*($H$2:$H$965=H71)*($I$2:$I$965=I71)*($J$2:$J$965=J71)*($K$2:$K$965=K71)*($N$2:$N$965=N71))=1,"خیر",IF(SUMPRODUCT(($B$2:B71=B71)*($C$2:C71=C71)*($D$2:D71=D71)*($E$2:E71=E71)*($F$2:F71=F71)*($G$2:G71=G71)*($H$2:H71=H71)*($I$2:I71=I71)*($J$2:J71=J71)*($K$2:K71=K71)*($N$2:N71=N71))=1,"بله-1","بله")))</f>
        <v>خیر</v>
      </c>
      <c r="P71" s="5" t="str" cm="1">
        <f t="array" ref="P71">IF(A71="","",IF(SUMPRODUCT(($F$2:$F$969=F71)*($I$2:$I$969=I71))=1,"خیر",IF(SUMPRODUCT(($F$2:F71=F71)*($I$2:I71=I71))=1,"بله-1","بله")))</f>
        <v>خیر</v>
      </c>
    </row>
    <row r="72" spans="1:16" ht="37.5" x14ac:dyDescent="0.25">
      <c r="A72" s="2" t="s">
        <v>940</v>
      </c>
      <c r="B72" s="2" t="s">
        <v>881</v>
      </c>
      <c r="C72" s="2" t="s">
        <v>882</v>
      </c>
      <c r="D72" s="2" t="s">
        <v>122</v>
      </c>
      <c r="E72" s="2" t="s">
        <v>123</v>
      </c>
      <c r="F72" s="2" t="s">
        <v>941</v>
      </c>
      <c r="G72" s="2" t="s">
        <v>589</v>
      </c>
      <c r="H72" s="2" t="s">
        <v>942</v>
      </c>
      <c r="I72" s="2" t="s">
        <v>943</v>
      </c>
      <c r="J72" s="2" t="s">
        <v>246</v>
      </c>
      <c r="K72" s="2" t="s">
        <v>353</v>
      </c>
      <c r="L72" s="3">
        <f>IF(OR(TRIM(I72)="",TRIM(K72)=""),"",IFERROR((VALUE(LEFT(TRIM(I72),4))-VALUE(LEFT(TRIM(K72),4)))*12+VALUE(MID(TRIM(I72),6,2))-VALUE(MID(TRIM(K72),6,2)),""))</f>
        <v>10</v>
      </c>
      <c r="M72" s="2" t="str">
        <f>IF(TRIM(H72)="","",IFERROR(LOOKUP(2,1/(ISNUMBER(SEARCH('منطق دسته‌بندی'!$A$2:$A$187,H72))),'منطق دسته‌بندی'!$B$2:$B$187),"سایر (نیازمند بررسی دستی)"))</f>
        <v>یخساز - خرابی موتور/سنسور/برد (تعویض)</v>
      </c>
      <c r="N72" s="2" t="s">
        <v>944</v>
      </c>
      <c r="O72" s="2" t="str" cm="1">
        <f t="array" ref="O72">IF(A72="","",IF(SUMPRODUCT(($B$2:$B$965=B72)*($C$2:$C$965=C72)*($D$2:$D$965=D72)*($E$2:$E$965=E72)*($F$2:$F$965=F72)*($G$2:$G$965=G72)*($H$2:$H$965=H72)*($I$2:$I$965=I72)*($J$2:$J$965=J72)*($K$2:$K$965=K72)*($N$2:$N$965=N72))=1,"خیر",IF(SUMPRODUCT(($B$2:B72=B72)*($C$2:C72=C72)*($D$2:D72=D72)*($E$2:E72=E72)*($F$2:F72=F72)*($G$2:G72=G72)*($H$2:H72=H72)*($I$2:I72=I72)*($J$2:J72=J72)*($K$2:K72=K72)*($N$2:N72=N72))=1,"بله-1","بله")))</f>
        <v>خیر</v>
      </c>
      <c r="P72" s="5" t="str" cm="1">
        <f t="array" ref="P72">IF(A72="","",IF(SUMPRODUCT(($F$2:$F$969=F72)*($I$2:$I$969=I72))=1,"خیر",IF(SUMPRODUCT(($F$2:F72=F72)*($I$2:I72=I72))=1,"بله-1","بله")))</f>
        <v>خیر</v>
      </c>
    </row>
    <row r="73" spans="1:16" ht="18.75" x14ac:dyDescent="0.25">
      <c r="A73" s="2">
        <v>210020047</v>
      </c>
      <c r="B73" s="2" t="s">
        <v>1040</v>
      </c>
      <c r="C73" s="2" t="s">
        <v>1041</v>
      </c>
      <c r="D73" s="2" t="s">
        <v>122</v>
      </c>
      <c r="E73" s="2" t="s">
        <v>123</v>
      </c>
      <c r="F73" s="2" t="s">
        <v>1480</v>
      </c>
      <c r="G73" s="2" t="s">
        <v>1481</v>
      </c>
      <c r="H73" s="2" t="s">
        <v>1482</v>
      </c>
      <c r="I73" s="2" t="s">
        <v>1416</v>
      </c>
      <c r="J73" s="2" t="s">
        <v>948</v>
      </c>
      <c r="K73" s="2" t="s">
        <v>103</v>
      </c>
      <c r="L73" s="3">
        <f>IF(OR(TRIM(I73)="",TRIM(K73)=""),"",IFERROR((VALUE(LEFT(TRIM(I73),4))-VALUE(LEFT(TRIM(K73),4)))*12+VALUE(MID(TRIM(I73),6,2))-VALUE(MID(TRIM(K73),6,2)),""))</f>
        <v>5</v>
      </c>
      <c r="M73" s="2" t="str">
        <f>IF(TRIM(H73)="","",IFERROR(LOOKUP(2,1/(ISNUMBER(SEARCH('منطق دسته‌بندی'!$A$2:$A$187,H73))),'منطق دسته‌بندی'!$B$2:$B$187),"سایر (نیازمند بررسی دستی)"))</f>
        <v>فن کندانسور - خرابی/صدا (تعویض)</v>
      </c>
      <c r="N73" s="2" t="s">
        <v>1483</v>
      </c>
      <c r="O73" s="2" t="str" cm="1">
        <f t="array" ref="O73">IF(A73="","",IF(SUMPRODUCT(($B$2:$B$965=B73)*($C$2:$C$965=C73)*($D$2:$D$965=D73)*($E$2:$E$965=E73)*($F$2:$F$965=F73)*($G$2:$G$965=G73)*($H$2:$H$965=H73)*($I$2:$I$965=I73)*($J$2:$J$965=J73)*($K$2:$K$965=K73)*($N$2:$N$965=N73))=1,"خیر",IF(SUMPRODUCT(($B$2:B73=B73)*($C$2:C73=C73)*($D$2:D73=D73)*($E$2:E73=E73)*($F$2:F73=F73)*($G$2:G73=G73)*($H$2:H73=H73)*($I$2:I73=I73)*($J$2:J73=J73)*($K$2:K73=K73)*($N$2:N73=N73))=1,"بله-1","بله")))</f>
        <v>خیر</v>
      </c>
      <c r="P73" s="5" t="str" cm="1">
        <f t="array" ref="P73">IF(A73="","",IF(SUMPRODUCT(($F$2:$F$969=F73)*($I$2:$I$969=I73))=1,"خیر",IF(SUMPRODUCT(($F$2:F73=F73)*($I$2:I73=I73))=1,"بله-1","بله")))</f>
        <v>خیر</v>
      </c>
    </row>
    <row r="74" spans="1:16" ht="18.75" x14ac:dyDescent="0.25">
      <c r="A74" s="2">
        <v>510026058</v>
      </c>
      <c r="B74" s="2" t="s">
        <v>1950</v>
      </c>
      <c r="C74" s="2" t="s">
        <v>1951</v>
      </c>
      <c r="D74" s="2" t="s">
        <v>122</v>
      </c>
      <c r="E74" s="2" t="s">
        <v>123</v>
      </c>
      <c r="F74" s="2" t="s">
        <v>1477</v>
      </c>
      <c r="G74" s="2" t="s">
        <v>1478</v>
      </c>
      <c r="H74" s="2" t="s">
        <v>1478</v>
      </c>
      <c r="I74" s="2" t="s">
        <v>1479</v>
      </c>
      <c r="J74" s="2" t="s">
        <v>948</v>
      </c>
      <c r="K74" s="2" t="s">
        <v>1028</v>
      </c>
      <c r="L74" s="3">
        <f>IF(OR(TRIM(I74)="",TRIM(K74)=""),"",IFERROR((VALUE(LEFT(TRIM(I74),4))-VALUE(LEFT(TRIM(K74),4)))*12+VALUE(MID(TRIM(I74),6,2))-VALUE(MID(TRIM(K74),6,2)),""))</f>
        <v>20</v>
      </c>
      <c r="M74" s="2" t="str">
        <f>IF(TRIM(H74)="","",IFERROR(LOOKUP(2,1/(ISNUMBER(SEARCH('منطق دسته‌بندی'!$A$2:$A$187,H74))),'منطق دسته‌بندی'!$B$2:$B$187),"سایر (نیازمند بررسی دستی)"))</f>
        <v>غیرگارانتی/بدون قطعه</v>
      </c>
      <c r="N74" s="2" t="s">
        <v>1478</v>
      </c>
      <c r="O74" s="2" t="str" cm="1">
        <f t="array" ref="O74">IF(A74="","",IF(SUMPRODUCT(($B$2:$B$965=B74)*($C$2:$C$965=C74)*($D$2:$D$965=D74)*($E$2:$E$965=E74)*($F$2:$F$965=F74)*($G$2:$G$965=G74)*($H$2:$H$965=H74)*($I$2:$I$965=I74)*($J$2:$J$965=J74)*($K$2:$K$965=K74)*($N$2:$N$965=N74))=1,"خیر",IF(SUMPRODUCT(($B$2:B74=B74)*($C$2:C74=C74)*($D$2:D74=D74)*($E$2:E74=E74)*($F$2:F74=F74)*($G$2:G74=G74)*($H$2:H74=H74)*($I$2:I74=I74)*($J$2:J74=J74)*($K$2:K74=K74)*($N$2:N74=N74))=1,"بله-1","بله")))</f>
        <v>خیر</v>
      </c>
      <c r="P74" s="5" t="str" cm="1">
        <f t="array" ref="P74">IF(A74="","",IF(SUMPRODUCT(($F$2:$F$969=F74)*($I$2:$I$969=I74))=1,"خیر",IF(SUMPRODUCT(($F$2:F74=F74)*($I$2:I74=I74))=1,"بله-1","بله")))</f>
        <v>خیر</v>
      </c>
    </row>
    <row r="75" spans="1:16" ht="18.75" x14ac:dyDescent="0.25">
      <c r="A75" s="2">
        <v>130010751</v>
      </c>
      <c r="B75" s="2" t="s">
        <v>1950</v>
      </c>
      <c r="C75" s="2" t="s">
        <v>1951</v>
      </c>
      <c r="D75" s="2" t="s">
        <v>122</v>
      </c>
      <c r="E75" s="2" t="s">
        <v>123</v>
      </c>
      <c r="F75" s="2" t="s">
        <v>1467</v>
      </c>
      <c r="G75" s="2" t="s">
        <v>1468</v>
      </c>
      <c r="H75" s="2" t="s">
        <v>1469</v>
      </c>
      <c r="I75" s="2" t="s">
        <v>1470</v>
      </c>
      <c r="J75" s="2" t="s">
        <v>144</v>
      </c>
      <c r="K75" s="2" t="s">
        <v>1471</v>
      </c>
      <c r="L75" s="3">
        <f>IF(OR(TRIM(I75)="",TRIM(K75)=""),"",IFERROR((VALUE(LEFT(TRIM(I75),4))-VALUE(LEFT(TRIM(K75),4)))*12+VALUE(MID(TRIM(I75),6,2))-VALUE(MID(TRIM(K75),6,2)),""))</f>
        <v>18</v>
      </c>
      <c r="M75" s="2" t="str">
        <f>IF(TRIM(H75)="","",IFERROR(LOOKUP(2,1/(ISNUMBER(SEARCH('منطق دسته‌بندی'!$A$2:$A$187,H75))),'منطق دسته‌بندی'!$B$2:$B$187),"سایر (نیازمند بررسی دستی)"))</f>
        <v>یخساز - کاور (تعویض)</v>
      </c>
      <c r="N75" s="2" t="s">
        <v>1472</v>
      </c>
      <c r="O75" s="2" t="str" cm="1">
        <f t="array" ref="O75">IF(A75="","",IF(SUMPRODUCT(($B$2:$B$965=B75)*($C$2:$C$965=C75)*($D$2:$D$965=D75)*($E$2:$E$965=E75)*($F$2:$F$965=F75)*($G$2:$G$965=G75)*($H$2:$H$965=H75)*($I$2:$I$965=I75)*($J$2:$J$965=J75)*($K$2:$K$965=K75)*($N$2:$N$965=N75))=1,"خیر",IF(SUMPRODUCT(($B$2:B75=B75)*($C$2:C75=C75)*($D$2:D75=D75)*($E$2:E75=E75)*($F$2:F75=F75)*($G$2:G75=G75)*($H$2:H75=H75)*($I$2:I75=I75)*($J$2:J75=J75)*($K$2:K75=K75)*($N$2:N75=N75))=1,"بله-1","بله")))</f>
        <v>خیر</v>
      </c>
      <c r="P75" s="5" t="str" cm="1">
        <f t="array" ref="P75">IF(A75="","",IF(SUMPRODUCT(($F$2:$F$969=F75)*($I$2:$I$969=I75))=1,"خیر",IF(SUMPRODUCT(($F$2:F75=F75)*($I$2:I75=I75))=1,"بله-1","بله")))</f>
        <v>خیر</v>
      </c>
    </row>
    <row r="76" spans="1:16" ht="18.75" x14ac:dyDescent="0.25">
      <c r="A76" s="2" t="s">
        <v>142</v>
      </c>
      <c r="B76" s="2" t="s">
        <v>16</v>
      </c>
      <c r="C76" s="2" t="s">
        <v>17</v>
      </c>
      <c r="D76" s="2" t="s">
        <v>122</v>
      </c>
      <c r="E76" s="2" t="s">
        <v>123</v>
      </c>
      <c r="F76" s="2" t="s">
        <v>143</v>
      </c>
      <c r="G76" s="2" t="s">
        <v>125</v>
      </c>
      <c r="H76" s="2" t="s">
        <v>126</v>
      </c>
      <c r="I76" s="2" t="s">
        <v>47</v>
      </c>
      <c r="J76" s="2" t="s">
        <v>144</v>
      </c>
      <c r="K76" s="2" t="s">
        <v>145</v>
      </c>
      <c r="L76" s="3">
        <f>IF(OR(TRIM(I76)="",TRIM(K76)=""),"",IFERROR((VALUE(LEFT(TRIM(I76),4))-VALUE(LEFT(TRIM(K76),4)))*12+VALUE(MID(TRIM(I76),6,2))-VALUE(MID(TRIM(K76),6,2)),""))</f>
        <v>13</v>
      </c>
      <c r="M76" s="2" t="str">
        <f>IF(TRIM(H76)="","",IFERROR(LOOKUP(2,1/(ISNUMBER(SEARCH('منطق دسته‌بندی'!$A$2:$A$187,H76))),'منطق دسته‌بندی'!$B$2:$B$187),"سایر (نیازمند بررسی دستی)"))</f>
        <v>غیرگارانتی/بدون قطعه</v>
      </c>
      <c r="N76" s="2" t="s">
        <v>24</v>
      </c>
      <c r="O76" s="2" t="str" cm="1">
        <f t="array" ref="O76">IF(A76="","",IF(SUMPRODUCT(($B$2:$B$965=B76)*($C$2:$C$965=C76)*($D$2:$D$965=D76)*($E$2:$E$965=E76)*($F$2:$F$965=F76)*($G$2:$G$965=G76)*($H$2:$H$965=H76)*($I$2:$I$965=I76)*($J$2:$J$965=J76)*($K$2:$K$965=K76)*($N$2:$N$965=N76))=1,"خیر",IF(SUMPRODUCT(($B$2:B76=B76)*($C$2:C76=C76)*($D$2:D76=D76)*($E$2:E76=E76)*($F$2:F76=F76)*($G$2:G76=G76)*($H$2:H76=H76)*($I$2:I76=I76)*($J$2:J76=J76)*($K$2:K76=K76)*($N$2:N76=N76))=1,"بله-1","بله")))</f>
        <v>خیر</v>
      </c>
      <c r="P76" s="5" t="str" cm="1">
        <f t="array" ref="P76">IF(A76="","",IF(SUMPRODUCT(($F$2:$F$969=F76)*($I$2:$I$969=I76))=1,"خیر",IF(SUMPRODUCT(($F$2:F76=F76)*($I$2:I76=I76))=1,"بله-1","بله")))</f>
        <v>خیر</v>
      </c>
    </row>
    <row r="77" spans="1:16" ht="18.75" x14ac:dyDescent="0.25">
      <c r="A77" s="2" t="s">
        <v>861</v>
      </c>
      <c r="B77" s="2" t="s">
        <v>632</v>
      </c>
      <c r="C77" s="2" t="s">
        <v>633</v>
      </c>
      <c r="D77" s="2" t="s">
        <v>122</v>
      </c>
      <c r="E77" s="2" t="s">
        <v>123</v>
      </c>
      <c r="F77" s="2" t="s">
        <v>862</v>
      </c>
      <c r="G77" s="2" t="s">
        <v>125</v>
      </c>
      <c r="H77" s="2" t="s">
        <v>125</v>
      </c>
      <c r="I77" s="2" t="s">
        <v>858</v>
      </c>
      <c r="J77" s="2" t="s">
        <v>863</v>
      </c>
      <c r="K77" s="2" t="s">
        <v>864</v>
      </c>
      <c r="L77" s="3">
        <f>IF(OR(TRIM(I77)="",TRIM(K77)=""),"",IFERROR((VALUE(LEFT(TRIM(I77),4))-VALUE(LEFT(TRIM(K77),4)))*12+VALUE(MID(TRIM(I77),6,2))-VALUE(MID(TRIM(K77),6,2)),""))</f>
        <v>8</v>
      </c>
      <c r="M77" s="2" t="str">
        <f>IF(TRIM(H77)="","",IFERROR(LOOKUP(2,1/(ISNUMBER(SEARCH('منطق دسته‌بندی'!$A$2:$A$187,H77))),'منطق دسته‌بندی'!$B$2:$B$187),"سایر (نیازمند بررسی دستی)"))</f>
        <v>غیرگارانتی/بدون قطعه</v>
      </c>
      <c r="N77" s="2" t="s">
        <v>24</v>
      </c>
      <c r="O77" s="2" t="str" cm="1">
        <f t="array" ref="O77">IF(A77="","",IF(SUMPRODUCT(($B$2:$B$965=B77)*($C$2:$C$965=C77)*($D$2:$D$965=D77)*($E$2:$E$965=E77)*($F$2:$F$965=F77)*($G$2:$G$965=G77)*($H$2:$H$965=H77)*($I$2:$I$965=I77)*($J$2:$J$965=J77)*($K$2:$K$965=K77)*($N$2:$N$965=N77))=1,"خیر",IF(SUMPRODUCT(($B$2:B77=B77)*($C$2:C77=C77)*($D$2:D77=D77)*($E$2:E77=E77)*($F$2:F77=F77)*($G$2:G77=G77)*($H$2:H77=H77)*($I$2:I77=I77)*($J$2:J77=J77)*($K$2:K77=K77)*($N$2:N77=N77))=1,"بله-1","بله")))</f>
        <v>خیر</v>
      </c>
      <c r="P77" s="5" t="str" cm="1">
        <f t="array" ref="P77">IF(A77="","",IF(SUMPRODUCT(($F$2:$F$969=F77)*($I$2:$I$969=I77))=1,"خیر",IF(SUMPRODUCT(($F$2:F77=F77)*($I$2:I77=I77))=1,"بله-1","بله")))</f>
        <v>خیر</v>
      </c>
    </row>
    <row r="78" spans="1:16" ht="18.75" x14ac:dyDescent="0.25">
      <c r="A78" s="2" t="s">
        <v>925</v>
      </c>
      <c r="B78" s="2" t="s">
        <v>881</v>
      </c>
      <c r="C78" s="2" t="s">
        <v>882</v>
      </c>
      <c r="D78" s="2" t="s">
        <v>122</v>
      </c>
      <c r="E78" s="2" t="s">
        <v>123</v>
      </c>
      <c r="F78" s="2" t="s">
        <v>245</v>
      </c>
      <c r="G78" s="2" t="s">
        <v>926</v>
      </c>
      <c r="H78" s="2" t="s">
        <v>927</v>
      </c>
      <c r="I78" s="2" t="s">
        <v>919</v>
      </c>
      <c r="J78" s="2" t="s">
        <v>246</v>
      </c>
      <c r="K78" s="2" t="s">
        <v>247</v>
      </c>
      <c r="L78" s="3">
        <f>IF(OR(TRIM(I78)="",TRIM(K78)=""),"",IFERROR((VALUE(LEFT(TRIM(I78),4))-VALUE(LEFT(TRIM(K78),4)))*12+VALUE(MID(TRIM(I78),6,2))-VALUE(MID(TRIM(K78),6,2)),""))</f>
        <v>10</v>
      </c>
      <c r="M78" s="2" t="str">
        <f>IF(TRIM(H78)="","",IFERROR(LOOKUP(2,1/(ISNUMBER(SEARCH('منطق دسته‌بندی'!$A$2:$A$187,H78))),'منطق دسته‌بندی'!$B$2:$B$187),"سایر (نیازمند بررسی دستی)"))</f>
        <v>یخساز - خرابی سنسور (تعویض)</v>
      </c>
      <c r="N78" s="2" t="s">
        <v>928</v>
      </c>
      <c r="O78" s="2" t="str" cm="1">
        <f t="array" ref="O78">IF(A78="","",IF(SUMPRODUCT(($B$2:$B$965=B78)*($C$2:$C$965=C78)*($D$2:$D$965=D78)*($E$2:$E$965=E78)*($F$2:$F$965=F78)*($G$2:$G$965=G78)*($H$2:$H$965=H78)*($I$2:$I$965=I78)*($J$2:$J$965=J78)*($K$2:$K$965=K78)*($N$2:$N$965=N78))=1,"خیر",IF(SUMPRODUCT(($B$2:B78=B78)*($C$2:C78=C78)*($D$2:D78=D78)*($E$2:E78=E78)*($F$2:F78=F78)*($G$2:G78=G78)*($H$2:H78=H78)*($I$2:I78=I78)*($J$2:J78=J78)*($K$2:K78=K78)*($N$2:N78=N78))=1,"بله-1","بله")))</f>
        <v>خیر</v>
      </c>
      <c r="P78" s="5" t="str" cm="1">
        <f t="array" ref="P78">IF(A78="","",IF(SUMPRODUCT(($F$2:$F$969=F78)*($I$2:$I$969=I78))=1,"خیر",IF(SUMPRODUCT(($F$2:F78=F78)*($I$2:I78=I78))=1,"بله-1","بله")))</f>
        <v>خیر</v>
      </c>
    </row>
    <row r="79" spans="1:16" ht="18.75" x14ac:dyDescent="0.25">
      <c r="A79" s="2" t="s">
        <v>244</v>
      </c>
      <c r="B79" s="2" t="s">
        <v>16</v>
      </c>
      <c r="C79" s="2" t="s">
        <v>17</v>
      </c>
      <c r="D79" s="2" t="s">
        <v>122</v>
      </c>
      <c r="E79" s="2" t="s">
        <v>123</v>
      </c>
      <c r="F79" s="2" t="s">
        <v>245</v>
      </c>
      <c r="G79" s="2" t="s">
        <v>125</v>
      </c>
      <c r="H79" s="2" t="s">
        <v>126</v>
      </c>
      <c r="I79" s="2" t="s">
        <v>239</v>
      </c>
      <c r="J79" s="2" t="s">
        <v>246</v>
      </c>
      <c r="K79" s="2" t="s">
        <v>247</v>
      </c>
      <c r="L79" s="3">
        <f>IF(OR(TRIM(I79)="",TRIM(K79)=""),"",IFERROR((VALUE(LEFT(TRIM(I79),4))-VALUE(LEFT(TRIM(K79),4)))*12+VALUE(MID(TRIM(I79),6,2))-VALUE(MID(TRIM(K79),6,2)),""))</f>
        <v>8</v>
      </c>
      <c r="M79" s="2" t="str">
        <f>IF(TRIM(H79)="","",IFERROR(LOOKUP(2,1/(ISNUMBER(SEARCH('منطق دسته‌بندی'!$A$2:$A$187,H79))),'منطق دسته‌بندی'!$B$2:$B$187),"سایر (نیازمند بررسی دستی)"))</f>
        <v>غیرگارانتی/بدون قطعه</v>
      </c>
      <c r="N79" s="2" t="s">
        <v>24</v>
      </c>
      <c r="O79" s="2" t="str" cm="1">
        <f t="array" ref="O79">IF(A79="","",IF(SUMPRODUCT(($B$2:$B$965=B79)*($C$2:$C$965=C79)*($D$2:$D$965=D79)*($E$2:$E$965=E79)*($F$2:$F$965=F79)*($G$2:$G$965=G79)*($H$2:$H$965=H79)*($I$2:$I$965=I79)*($J$2:$J$965=J79)*($K$2:$K$965=K79)*($N$2:$N$965=N79))=1,"خیر",IF(SUMPRODUCT(($B$2:B79=B79)*($C$2:C79=C79)*($D$2:D79=D79)*($E$2:E79=E79)*($F$2:F79=F79)*($G$2:G79=G79)*($H$2:H79=H79)*($I$2:I79=I79)*($J$2:J79=J79)*($K$2:K79=K79)*($N$2:N79=N79))=1,"بله-1","بله")))</f>
        <v>خیر</v>
      </c>
      <c r="P79" s="5" t="str" cm="1">
        <f t="array" ref="P79">IF(A79="","",IF(SUMPRODUCT(($F$2:$F$969=F79)*($I$2:$I$969=I79))=1,"خیر",IF(SUMPRODUCT(($F$2:F79=F79)*($I$2:I79=I79))=1,"بله-1","بله")))</f>
        <v>خیر</v>
      </c>
    </row>
    <row r="80" spans="1:16" ht="18.75" x14ac:dyDescent="0.25">
      <c r="A80" s="2">
        <v>210019735</v>
      </c>
      <c r="B80" s="2" t="s">
        <v>1040</v>
      </c>
      <c r="C80" s="2" t="s">
        <v>1041</v>
      </c>
      <c r="D80" s="2" t="s">
        <v>122</v>
      </c>
      <c r="E80" s="2" t="s">
        <v>123</v>
      </c>
      <c r="F80" s="2" t="s">
        <v>245</v>
      </c>
      <c r="G80" s="2" t="s">
        <v>1491</v>
      </c>
      <c r="H80" s="2" t="s">
        <v>1415</v>
      </c>
      <c r="I80" s="2" t="s">
        <v>1492</v>
      </c>
      <c r="J80" s="2" t="s">
        <v>246</v>
      </c>
      <c r="K80" s="2" t="s">
        <v>247</v>
      </c>
      <c r="L80" s="3">
        <f>IF(OR(TRIM(I80)="",TRIM(K80)=""),"",IFERROR((VALUE(LEFT(TRIM(I80),4))-VALUE(LEFT(TRIM(K80),4)))*12+VALUE(MID(TRIM(I80),6,2))-VALUE(MID(TRIM(K80),6,2)),""))</f>
        <v>12</v>
      </c>
      <c r="M80" s="2" t="str">
        <f>IF(TRIM(H80)="","",IFERROR(LOOKUP(2,1/(ISNUMBER(SEARCH('منطق دسته‌بندی'!$A$2:$A$187,H80))),'منطق دسته‌بندی'!$B$2:$B$187),"سایر (نیازمند بررسی دستی)"))</f>
        <v>خرابی - شیربرقی (تعویض)</v>
      </c>
      <c r="N80" s="2" t="s">
        <v>1418</v>
      </c>
      <c r="O80" s="2" t="str" cm="1">
        <f t="array" ref="O80">IF(A80="","",IF(SUMPRODUCT(($B$2:$B$965=B80)*($C$2:$C$965=C80)*($D$2:$D$965=D80)*($E$2:$E$965=E80)*($F$2:$F$965=F80)*($G$2:$G$965=G80)*($H$2:$H$965=H80)*($I$2:$I$965=I80)*($J$2:$J$965=J80)*($K$2:$K$965=K80)*($N$2:$N$965=N80))=1,"خیر",IF(SUMPRODUCT(($B$2:B80=B80)*($C$2:C80=C80)*($D$2:D80=D80)*($E$2:E80=E80)*($F$2:F80=F80)*($G$2:G80=G80)*($H$2:H80=H80)*($I$2:I80=I80)*($J$2:J80=J80)*($K$2:K80=K80)*($N$2:N80=N80))=1,"بله-1","بله")))</f>
        <v>خیر</v>
      </c>
      <c r="P80" s="5" t="str" cm="1">
        <f t="array" ref="P80">IF(A80="","",IF(SUMPRODUCT(($F$2:$F$969=F80)*($I$2:$I$969=I80))=1,"خیر",IF(SUMPRODUCT(($F$2:F80=F80)*($I$2:I80=I80))=1,"بله-1","بله")))</f>
        <v>خیر</v>
      </c>
    </row>
    <row r="81" spans="1:16" ht="18.75" x14ac:dyDescent="0.25">
      <c r="A81" s="2">
        <v>510025294</v>
      </c>
      <c r="B81" s="2" t="s">
        <v>1950</v>
      </c>
      <c r="C81" s="2" t="s">
        <v>1951</v>
      </c>
      <c r="D81" s="2" t="s">
        <v>122</v>
      </c>
      <c r="E81" s="2" t="s">
        <v>123</v>
      </c>
      <c r="F81" s="2" t="s">
        <v>1456</v>
      </c>
      <c r="G81" s="2" t="s">
        <v>1457</v>
      </c>
      <c r="H81" s="2" t="s">
        <v>1415</v>
      </c>
      <c r="I81" s="2" t="s">
        <v>1458</v>
      </c>
      <c r="J81" s="2" t="s">
        <v>436</v>
      </c>
      <c r="K81" s="2" t="s">
        <v>1459</v>
      </c>
      <c r="L81" s="3">
        <f>IF(OR(TRIM(I81)="",TRIM(K81)=""),"",IFERROR((VALUE(LEFT(TRIM(I81),4))-VALUE(LEFT(TRIM(K81),4)))*12+VALUE(MID(TRIM(I81),6,2))-VALUE(MID(TRIM(K81),6,2)),""))</f>
        <v>6</v>
      </c>
      <c r="M81" s="2" t="str">
        <f>IF(TRIM(H81)="","",IFERROR(LOOKUP(2,1/(ISNUMBER(SEARCH('منطق دسته‌بندی'!$A$2:$A$187,H81))),'منطق دسته‌بندی'!$B$2:$B$187),"سایر (نیازمند بررسی دستی)"))</f>
        <v>خرابی - شیربرقی (تعویض)</v>
      </c>
      <c r="N81" s="2" t="s">
        <v>1460</v>
      </c>
      <c r="O81" s="2" t="str" cm="1">
        <f t="array" ref="O81">IF(A81="","",IF(SUMPRODUCT(($B$2:$B$965=B81)*($C$2:$C$965=C81)*($D$2:$D$965=D81)*($E$2:$E$965=E81)*($F$2:$F$965=F81)*($G$2:$G$965=G81)*($H$2:$H$965=H81)*($I$2:$I$965=I81)*($J$2:$J$965=J81)*($K$2:$K$965=K81)*($N$2:$N$965=N81))=1,"خیر",IF(SUMPRODUCT(($B$2:B81=B81)*($C$2:C81=C81)*($D$2:D81=D81)*($E$2:E81=E81)*($F$2:F81=F81)*($G$2:G81=G81)*($H$2:H81=H81)*($I$2:I81=I81)*($J$2:J81=J81)*($K$2:K81=K81)*($N$2:N81=N81))=1,"بله-1","بله")))</f>
        <v>خیر</v>
      </c>
      <c r="P81" s="5" t="str" cm="1">
        <f t="array" ref="P81">IF(A81="","",IF(SUMPRODUCT(($F$2:$F$969=F81)*($I$2:$I$969=I81))=1,"خیر",IF(SUMPRODUCT(($F$2:F81=F81)*($I$2:I81=I81))=1,"بله-1","بله")))</f>
        <v>خیر</v>
      </c>
    </row>
    <row r="82" spans="1:16" ht="37.5" x14ac:dyDescent="0.25">
      <c r="A82" s="2" t="s">
        <v>591</v>
      </c>
      <c r="B82" s="2" t="s">
        <v>16</v>
      </c>
      <c r="C82" s="2" t="s">
        <v>17</v>
      </c>
      <c r="D82" s="2" t="s">
        <v>122</v>
      </c>
      <c r="E82" s="2" t="s">
        <v>123</v>
      </c>
      <c r="F82" s="2" t="s">
        <v>592</v>
      </c>
      <c r="G82" s="2" t="s">
        <v>593</v>
      </c>
      <c r="H82" s="2" t="s">
        <v>263</v>
      </c>
      <c r="I82" s="2" t="s">
        <v>580</v>
      </c>
      <c r="J82" s="2" t="s">
        <v>594</v>
      </c>
      <c r="K82" s="2" t="s">
        <v>315</v>
      </c>
      <c r="L82" s="3">
        <f>IF(OR(TRIM(I82)="",TRIM(K82)=""),"",IFERROR((VALUE(LEFT(TRIM(I82),4))-VALUE(LEFT(TRIM(K82),4)))*12+VALUE(MID(TRIM(I82),6,2))-VALUE(MID(TRIM(K82),6,2)),""))</f>
        <v>9</v>
      </c>
      <c r="M82" s="2" t="str">
        <f>IF(TRIM(H82)="","",IFERROR(LOOKUP(2,1/(ISNUMBER(SEARCH('منطق دسته‌بندی'!$A$2:$A$187,H82))),'منطق دسته‌بندی'!$B$2:$B$187),"سایر (نیازمند بررسی دستی)"))</f>
        <v>یخساز - تنظیم/عایق (تعمیر)</v>
      </c>
      <c r="N82" s="2" t="s">
        <v>24</v>
      </c>
      <c r="O82" s="2" t="str" cm="1">
        <f t="array" ref="O82">IF(A82="","",IF(SUMPRODUCT(($B$2:$B$965=B82)*($C$2:$C$965=C82)*($D$2:$D$965=D82)*($E$2:$E$965=E82)*($F$2:$F$965=F82)*($G$2:$G$965=G82)*($H$2:$H$965=H82)*($I$2:$I$965=I82)*($J$2:$J$965=J82)*($K$2:$K$965=K82)*($N$2:$N$965=N82))=1,"خیر",IF(SUMPRODUCT(($B$2:B82=B82)*($C$2:C82=C82)*($D$2:D82=D82)*($E$2:E82=E82)*($F$2:F82=F82)*($G$2:G82=G82)*($H$2:H82=H82)*($I$2:I82=I82)*($J$2:J82=J82)*($K$2:K82=K82)*($N$2:N82=N82))=1,"بله-1","بله")))</f>
        <v>خیر</v>
      </c>
      <c r="P82" s="5" t="str" cm="1">
        <f t="array" ref="P82">IF(A82="","",IF(SUMPRODUCT(($F$2:$F$969=F82)*($I$2:$I$969=I82))=1,"خیر",IF(SUMPRODUCT(($F$2:F82=F82)*($I$2:I82=I82))=1,"بله-1","بله")))</f>
        <v>خیر</v>
      </c>
    </row>
    <row r="83" spans="1:16" ht="18.75" x14ac:dyDescent="0.25">
      <c r="A83" s="2" t="s">
        <v>1302</v>
      </c>
      <c r="B83" s="2" t="s">
        <v>1040</v>
      </c>
      <c r="C83" s="2" t="s">
        <v>1041</v>
      </c>
      <c r="D83" s="2" t="s">
        <v>122</v>
      </c>
      <c r="E83" s="15" t="s">
        <v>123</v>
      </c>
      <c r="F83" s="2" t="s">
        <v>592</v>
      </c>
      <c r="G83" s="2" t="s">
        <v>204</v>
      </c>
      <c r="H83" s="2" t="s">
        <v>1270</v>
      </c>
      <c r="I83" s="2" t="s">
        <v>1301</v>
      </c>
      <c r="J83" s="2" t="s">
        <v>594</v>
      </c>
      <c r="K83" s="2" t="s">
        <v>315</v>
      </c>
      <c r="L83" s="3">
        <f>IF(OR(TRIM(I83)="",TRIM(K83)=""),"",IFERROR((VALUE(LEFT(TRIM(I83),4))-VALUE(LEFT(TRIM(K83),4)))*12+VALUE(MID(TRIM(I83),6,2))-VALUE(MID(TRIM(K83),6,2)),""))</f>
        <v>13</v>
      </c>
      <c r="M83" s="2" t="str">
        <f>IF(TRIM(H83)="","",IFERROR(LOOKUP(2,1/(ISNUMBER(SEARCH('منطق دسته‌بندی'!$A$2:$A$187,H83))),'منطق دسته‌بندی'!$B$2:$B$187),"سایر (نیازمند بررسی دستی)"))</f>
        <v>یخساز - خرابی موتور (تعویض)</v>
      </c>
      <c r="N83" s="2" t="s">
        <v>1272</v>
      </c>
      <c r="O83" s="2" t="str" cm="1">
        <f t="array" ref="O83">IF(A83="","",IF(SUMPRODUCT(($B$2:$B$965=B83)*($C$2:$C$965=C83)*($D$2:$D$965=D83)*($E$2:$E$965=E83)*($F$2:$F$965=F83)*($G$2:$G$965=G83)*($H$2:$H$965=H83)*($I$2:$I$965=I83)*($J$2:$J$965=J83)*($K$2:$K$965=K83)*($N$2:$N$965=N83))=1,"خیر",IF(SUMPRODUCT(($B$2:B83=B83)*($C$2:C83=C83)*($D$2:D83=D83)*($E$2:E83=E83)*($F$2:F83=F83)*($G$2:G83=G83)*($H$2:H83=H83)*($I$2:I83=I83)*($J$2:J83=J83)*($K$2:K83=K83)*($N$2:N83=N83))=1,"بله-1","بله")))</f>
        <v>خیر</v>
      </c>
      <c r="P83" s="5" t="str" cm="1">
        <f t="array" ref="P83">IF(A83="","",IF(SUMPRODUCT(($F$2:$F$969=F83)*($I$2:$I$969=I83))=1,"خیر",IF(SUMPRODUCT(($F$2:F83=F83)*($I$2:I83=I83))=1,"بله-1","بله")))</f>
        <v>خیر</v>
      </c>
    </row>
    <row r="84" spans="1:16" ht="18.75" x14ac:dyDescent="0.25">
      <c r="A84" s="2">
        <v>210019667</v>
      </c>
      <c r="B84" s="2" t="s">
        <v>1040</v>
      </c>
      <c r="C84" s="2" t="s">
        <v>1041</v>
      </c>
      <c r="D84" s="2" t="s">
        <v>122</v>
      </c>
      <c r="E84" s="2" t="s">
        <v>123</v>
      </c>
      <c r="F84" s="2" t="s">
        <v>592</v>
      </c>
      <c r="G84" s="2" t="s">
        <v>1454</v>
      </c>
      <c r="H84" s="2" t="s">
        <v>1787</v>
      </c>
      <c r="I84" s="2" t="s">
        <v>1405</v>
      </c>
      <c r="J84" s="2" t="s">
        <v>594</v>
      </c>
      <c r="K84" s="2" t="s">
        <v>315</v>
      </c>
      <c r="L84" s="3">
        <f>IF(OR(TRIM(I84)="",TRIM(K84)=""),"",IFERROR((VALUE(LEFT(TRIM(I84),4))-VALUE(LEFT(TRIM(K84),4)))*12+VALUE(MID(TRIM(I84),6,2))-VALUE(MID(TRIM(K84),6,2)),""))</f>
        <v>13</v>
      </c>
      <c r="M84" s="2" t="str">
        <f>IF(TRIM(H84)="","",IFERROR(LOOKUP(2,1/(ISNUMBER(SEARCH('منطق دسته‌بندی'!$A$2:$A$187,H84))),'منطق دسته‌بندی'!$B$2:$B$187),"سایر (نیازمند بررسی دستی)"))</f>
        <v>یخساز - خرابی موتور/سنسور/برد (تعویض)</v>
      </c>
      <c r="N84" s="2" t="s">
        <v>1455</v>
      </c>
      <c r="O84" s="2" t="str" cm="1">
        <f t="array" ref="O84">IF(A84="","",IF(SUMPRODUCT(($B$2:$B$965=B84)*($C$2:$C$965=C84)*($D$2:$D$965=D84)*($E$2:$E$965=E84)*($F$2:$F$965=F84)*($G$2:$G$965=G84)*($H$2:$H$965=H84)*($I$2:$I$965=I84)*($J$2:$J$965=J84)*($K$2:$K$965=K84)*($N$2:$N$965=N84))=1,"خیر",IF(SUMPRODUCT(($B$2:B84=B84)*($C$2:C84=C84)*($D$2:D84=D84)*($E$2:E84=E84)*($F$2:F84=F84)*($G$2:G84=G84)*($H$2:H84=H84)*($I$2:I84=I84)*($J$2:J84=J84)*($K$2:K84=K84)*($N$2:N84=N84))=1,"بله-1","بله")))</f>
        <v>خیر</v>
      </c>
      <c r="P84" s="5" t="str" cm="1">
        <f t="array" ref="P84">IF(A84="","",IF(SUMPRODUCT(($F$2:$F$969=F84)*($I$2:$I$969=I84))=1,"خیر",IF(SUMPRODUCT(($F$2:F84=F84)*($I$2:I84=I84))=1,"بله-1","بله")))</f>
        <v>خیر</v>
      </c>
    </row>
    <row r="85" spans="1:16" ht="37.5" x14ac:dyDescent="0.25">
      <c r="A85" s="2">
        <v>130012277</v>
      </c>
      <c r="B85" s="2" t="s">
        <v>1950</v>
      </c>
      <c r="C85" s="2" t="s">
        <v>1951</v>
      </c>
      <c r="D85" s="2" t="s">
        <v>2018</v>
      </c>
      <c r="E85" s="2" t="s">
        <v>123</v>
      </c>
      <c r="F85" s="2" t="s">
        <v>1954</v>
      </c>
      <c r="G85" s="2" t="s">
        <v>1973</v>
      </c>
      <c r="H85" s="2" t="s">
        <v>1779</v>
      </c>
      <c r="I85" s="2" t="s">
        <v>1997</v>
      </c>
      <c r="J85" s="2" t="s">
        <v>1452</v>
      </c>
      <c r="K85" s="2" t="s">
        <v>2007</v>
      </c>
      <c r="L85" s="3">
        <f>IF(OR(TRIM(I85)="",TRIM(K85)=""),"",IFERROR((VALUE(LEFT(TRIM(I85),4))-VALUE(LEFT(TRIM(K85),4)))*12+VALUE(MID(TRIM(I85),6,2))-VALUE(MID(TRIM(K85),6,2)),""))</f>
        <v>8</v>
      </c>
      <c r="M85" s="2" t="str">
        <f>IF(TRIM(H85)="","",IFERROR(LOOKUP(2,1/(ISNUMBER(SEARCH('منطق دسته‌بندی'!$A$2:$A$187,H85))),'منطق دسته‌بندی'!$B$2:$B$187),"سایر (نیازمند بررسی دستی)"))</f>
        <v>فن کندانسور - خرابی/صدا (تعویض)</v>
      </c>
      <c r="N85" s="2" t="s">
        <v>1483</v>
      </c>
      <c r="O85" s="2" t="str" cm="1">
        <f t="array" ref="O85">IF(A85="","",IF(SUMPRODUCT(($B$2:$B$965=B85)*($C$2:$C$965=C85)*($D$2:$D$965=D85)*($E$2:$E$965=E85)*($F$2:$F$965=F85)*($G$2:$G$965=G85)*($H$2:$H$965=H85)*($I$2:$I$965=I85)*($J$2:$J$965=J85)*($K$2:$K$965=K85)*($N$2:$N$965=N85))=1,"خیر",IF(SUMPRODUCT(($B$2:B85=B85)*($C$2:C85=C85)*($D$2:D85=D85)*($E$2:E85=E85)*($F$2:F85=F85)*($G$2:G85=G85)*($H$2:H85=H85)*($I$2:I85=I85)*($J$2:J85=J85)*($K$2:K85=K85)*($N$2:N85=N85))=1,"بله-1","بله")))</f>
        <v>خیر</v>
      </c>
      <c r="P85" s="5" t="str" cm="1">
        <f t="array" ref="P85">IF(A85="","",IF(SUMPRODUCT(($F$2:$F$969=F85)*($I$2:$I$969=I85))=1,"خیر",IF(SUMPRODUCT(($F$2:F85=F85)*($I$2:I85=I85))=1,"بله-1","بله")))</f>
        <v>خیر</v>
      </c>
    </row>
    <row r="86" spans="1:16" ht="37.5" x14ac:dyDescent="0.25">
      <c r="A86" s="2">
        <v>130010283</v>
      </c>
      <c r="B86" s="2" t="s">
        <v>1040</v>
      </c>
      <c r="C86" s="2" t="s">
        <v>1041</v>
      </c>
      <c r="D86" s="2" t="s">
        <v>122</v>
      </c>
      <c r="E86" s="2" t="s">
        <v>123</v>
      </c>
      <c r="F86" s="2" t="s">
        <v>1449</v>
      </c>
      <c r="G86" s="2" t="s">
        <v>1450</v>
      </c>
      <c r="H86" s="2" t="s">
        <v>1398</v>
      </c>
      <c r="I86" s="2" t="s">
        <v>1451</v>
      </c>
      <c r="J86" s="2" t="s">
        <v>1452</v>
      </c>
      <c r="K86" s="2" t="s">
        <v>1453</v>
      </c>
      <c r="L86" s="3">
        <f>IF(OR(TRIM(I86)="",TRIM(K86)=""),"",IFERROR((VALUE(LEFT(TRIM(I86),4))-VALUE(LEFT(TRIM(K86),4)))*12+VALUE(MID(TRIM(I86),6,2))-VALUE(MID(TRIM(K86),6,2)),""))</f>
        <v>7</v>
      </c>
      <c r="M86" s="2" t="str">
        <f>IF(TRIM(H86)="","",IFERROR(LOOKUP(2,1/(ISNUMBER(SEARCH('منطق دسته‌بندی'!$A$2:$A$187,H86))),'منطق دسته‌بندی'!$B$2:$B$187),"سایر (نیازمند بررسی دستی)"))</f>
        <v>یخساز - تنظیم/عایق (تعمیر)</v>
      </c>
      <c r="N86" s="2" t="s">
        <v>1421</v>
      </c>
      <c r="O86" s="2" t="str" cm="1">
        <f t="array" ref="O86">IF(A86="","",IF(SUMPRODUCT(($B$2:$B$965=B86)*($C$2:$C$965=C86)*($D$2:$D$965=D86)*($E$2:$E$965=E86)*($F$2:$F$965=F86)*($G$2:$G$965=G86)*($H$2:$H$965=H86)*($I$2:$I$965=I86)*($J$2:$J$965=J86)*($K$2:$K$965=K86)*($N$2:$N$965=N86))=1,"خیر",IF(SUMPRODUCT(($B$2:B86=B86)*($C$2:C86=C86)*($D$2:D86=D86)*($E$2:E86=E86)*($F$2:F86=F86)*($G$2:G86=G86)*($H$2:H86=H86)*($I$2:I86=I86)*($J$2:J86=J86)*($K$2:K86=K86)*($N$2:N86=N86))=1,"بله-1","بله")))</f>
        <v>خیر</v>
      </c>
      <c r="P86" s="5" t="str" cm="1">
        <f t="array" ref="P86">IF(A86="","",IF(SUMPRODUCT(($F$2:$F$969=F86)*($I$2:$I$969=I86))=1,"خیر",IF(SUMPRODUCT(($F$2:F86=F86)*($I$2:I86=I86))=1,"بله-1","بله")))</f>
        <v>خیر</v>
      </c>
    </row>
    <row r="87" spans="1:16" ht="37.5" x14ac:dyDescent="0.25">
      <c r="A87" s="2" t="s">
        <v>525</v>
      </c>
      <c r="B87" s="2" t="s">
        <v>16</v>
      </c>
      <c r="C87" s="2" t="s">
        <v>17</v>
      </c>
      <c r="D87" s="2" t="s">
        <v>122</v>
      </c>
      <c r="E87" s="2" t="s">
        <v>123</v>
      </c>
      <c r="F87" s="2" t="s">
        <v>526</v>
      </c>
      <c r="G87" s="2" t="s">
        <v>527</v>
      </c>
      <c r="H87" s="2" t="s">
        <v>528</v>
      </c>
      <c r="I87" s="2" t="s">
        <v>507</v>
      </c>
      <c r="J87" s="2" t="s">
        <v>529</v>
      </c>
      <c r="K87" s="2" t="s">
        <v>141</v>
      </c>
      <c r="L87" s="3">
        <f>IF(OR(TRIM(I87)="",TRIM(K87)=""),"",IFERROR((VALUE(LEFT(TRIM(I87),4))-VALUE(LEFT(TRIM(K87),4)))*12+VALUE(MID(TRIM(I87),6,2))-VALUE(MID(TRIM(K87),6,2)),""))</f>
        <v>5</v>
      </c>
      <c r="M87" s="2" t="str">
        <f>IF(TRIM(H87)="","",IFERROR(LOOKUP(2,1/(ISNUMBER(SEARCH('منطق دسته‌بندی'!$A$2:$A$187,H87))),'منطق دسته‌بندی'!$B$2:$B$187),"سایر (نیازمند بررسی دستی)"))</f>
        <v>خرابی - ترموستات/سنسور دما (تعویض)</v>
      </c>
      <c r="N87" s="2" t="s">
        <v>530</v>
      </c>
      <c r="O87" s="2" t="str" cm="1">
        <f t="array" ref="O87">IF(A87="","",IF(SUMPRODUCT(($B$2:$B$965=B87)*($C$2:$C$965=C87)*($D$2:$D$965=D87)*($E$2:$E$965=E87)*($F$2:$F$965=F87)*($G$2:$G$965=G87)*($H$2:$H$965=H87)*($I$2:$I$965=I87)*($J$2:$J$965=J87)*($K$2:$K$965=K87)*($N$2:$N$965=N87))=1,"خیر",IF(SUMPRODUCT(($B$2:B87=B87)*($C$2:C87=C87)*($D$2:D87=D87)*($E$2:E87=E87)*($F$2:F87=F87)*($G$2:G87=G87)*($H$2:H87=H87)*($I$2:I87=I87)*($J$2:J87=J87)*($K$2:K87=K87)*($N$2:N87=N87))=1,"بله-1","بله")))</f>
        <v>خیر</v>
      </c>
      <c r="P87" s="5" t="str" cm="1">
        <f t="array" ref="P87">IF(A87="","",IF(SUMPRODUCT(($F$2:$F$969=F87)*($I$2:$I$969=I87))=1,"خیر",IF(SUMPRODUCT(($F$2:F87=F87)*($I$2:I87=I87))=1,"بله-1","بله")))</f>
        <v>خیر</v>
      </c>
    </row>
    <row r="88" spans="1:16" ht="18.75" x14ac:dyDescent="0.25">
      <c r="A88" s="2">
        <v>130010182</v>
      </c>
      <c r="B88" s="2" t="s">
        <v>1040</v>
      </c>
      <c r="C88" s="2" t="s">
        <v>1041</v>
      </c>
      <c r="D88" s="2" t="s">
        <v>122</v>
      </c>
      <c r="E88" s="2" t="s">
        <v>123</v>
      </c>
      <c r="F88" s="2" t="s">
        <v>1446</v>
      </c>
      <c r="G88" s="2" t="s">
        <v>1445</v>
      </c>
      <c r="H88" s="2" t="s">
        <v>1447</v>
      </c>
      <c r="I88" s="2" t="s">
        <v>1440</v>
      </c>
      <c r="J88" s="2" t="s">
        <v>1435</v>
      </c>
      <c r="K88" s="2" t="s">
        <v>937</v>
      </c>
      <c r="L88" s="3">
        <f>IF(OR(TRIM(I88)="",TRIM(K88)=""),"",IFERROR((VALUE(LEFT(TRIM(I88),4))-VALUE(LEFT(TRIM(K88),4)))*12+VALUE(MID(TRIM(I88),6,2))-VALUE(MID(TRIM(K88),6,2)),""))</f>
        <v>2</v>
      </c>
      <c r="M88" s="2" t="str">
        <f>IF(TRIM(H88)="","",IFERROR(LOOKUP(2,1/(ISNUMBER(SEARCH('منطق دسته‌بندی'!$A$2:$A$187,H88))),'منطق دسته‌بندی'!$B$2:$B$187),"سایر (نیازمند بررسی دستی)"))</f>
        <v>خرابی - کمپرسور (تعویض)</v>
      </c>
      <c r="N88" s="2" t="s">
        <v>1448</v>
      </c>
      <c r="O88" s="2" t="str" cm="1">
        <f t="array" ref="O88">IF(A88="","",IF(SUMPRODUCT(($B$2:$B$965=B88)*($C$2:$C$965=C88)*($D$2:$D$965=D88)*($E$2:$E$965=E88)*($F$2:$F$965=F88)*($G$2:$G$965=G88)*($H$2:$H$965=H88)*($I$2:$I$965=I88)*($J$2:$J$965=J88)*($K$2:$K$965=K88)*($N$2:$N$965=N88))=1,"خیر",IF(SUMPRODUCT(($B$2:B88=B88)*($C$2:C88=C88)*($D$2:D88=D88)*($E$2:E88=E88)*($F$2:F88=F88)*($G$2:G88=G88)*($H$2:H88=H88)*($I$2:I88=I88)*($J$2:J88=J88)*($K$2:K88=K88)*($N$2:N88=N88))=1,"بله-1","بله")))</f>
        <v>خیر</v>
      </c>
      <c r="P88" s="5" t="str" cm="1">
        <f t="array" ref="P88">IF(A88="","",IF(SUMPRODUCT(($F$2:$F$969=F88)*($I$2:$I$969=I88))=1,"خیر",IF(SUMPRODUCT(($F$2:F88=F88)*($I$2:I88=I88))=1,"بله-1","بله")))</f>
        <v>خیر</v>
      </c>
    </row>
    <row r="89" spans="1:16" ht="37.5" x14ac:dyDescent="0.25">
      <c r="A89" s="2" t="s">
        <v>1086</v>
      </c>
      <c r="B89" s="2" t="s">
        <v>1040</v>
      </c>
      <c r="C89" s="2" t="s">
        <v>1041</v>
      </c>
      <c r="D89" s="2" t="s">
        <v>122</v>
      </c>
      <c r="E89" s="15" t="s">
        <v>123</v>
      </c>
      <c r="F89" s="2" t="s">
        <v>1087</v>
      </c>
      <c r="G89" s="2" t="s">
        <v>787</v>
      </c>
      <c r="H89" s="2" t="s">
        <v>788</v>
      </c>
      <c r="I89" s="2" t="s">
        <v>1076</v>
      </c>
      <c r="J89" s="2" t="s">
        <v>1271</v>
      </c>
      <c r="K89" s="2" t="s">
        <v>624</v>
      </c>
      <c r="L89" s="3">
        <f>IF(OR(TRIM(I89)="",TRIM(K89)=""),"",IFERROR((VALUE(LEFT(TRIM(I89),4))-VALUE(LEFT(TRIM(K89),4)))*12+VALUE(MID(TRIM(I89),6,2))-VALUE(MID(TRIM(K89),6,2)),""))</f>
        <v>18</v>
      </c>
      <c r="M89" s="2" t="str">
        <f>IF(TRIM(H89)="","",IFERROR(LOOKUP(2,1/(ISNUMBER(SEARCH('منطق دسته‌بندی'!$A$2:$A$187,H89))),'منطق دسته‌بندی'!$B$2:$B$187),"سایر (نیازمند بررسی دستی)"))</f>
        <v>خرابی - کمپرسور (تعویض)</v>
      </c>
      <c r="N89" s="2" t="s">
        <v>1088</v>
      </c>
      <c r="O89" s="2" t="str" cm="1">
        <f t="array" ref="O89">IF(A89="","",IF(SUMPRODUCT(($B$2:$B$965=B89)*($C$2:$C$965=C89)*($D$2:$D$965=D89)*($E$2:$E$965=E89)*($F$2:$F$965=F89)*($G$2:$G$965=G89)*($H$2:$H$965=H89)*($I$2:$I$965=I89)*($J$2:$J$965=J89)*($K$2:$K$965=K89)*($N$2:$N$965=N89))=1,"خیر",IF(SUMPRODUCT(($B$2:B89=B89)*($C$2:C89=C89)*($D$2:D89=D89)*($E$2:E89=E89)*($F$2:F89=F89)*($G$2:G89=G89)*($H$2:H89=H89)*($I$2:I89=I89)*($J$2:J89=J89)*($K$2:K89=K89)*($N$2:N89=N89))=1,"بله-1","بله")))</f>
        <v>خیر</v>
      </c>
      <c r="P89" s="5" t="str" cm="1">
        <f t="array" ref="P89">IF(A89="","",IF(SUMPRODUCT(($F$2:$F$969=F89)*($I$2:$I$969=I89))=1,"خیر",IF(SUMPRODUCT(($F$2:F89=F89)*($I$2:I89=I89))=1,"بله-1","بله")))</f>
        <v>خیر</v>
      </c>
    </row>
    <row r="90" spans="1:16" ht="18.75" x14ac:dyDescent="0.25">
      <c r="A90" s="2" t="s">
        <v>1269</v>
      </c>
      <c r="B90" s="2" t="s">
        <v>1040</v>
      </c>
      <c r="C90" s="2" t="s">
        <v>1041</v>
      </c>
      <c r="D90" s="2" t="s">
        <v>122</v>
      </c>
      <c r="E90" s="2" t="s">
        <v>123</v>
      </c>
      <c r="F90" s="2" t="s">
        <v>1087</v>
      </c>
      <c r="G90" s="2" t="s">
        <v>250</v>
      </c>
      <c r="H90" s="2" t="s">
        <v>1270</v>
      </c>
      <c r="I90" s="2" t="s">
        <v>1260</v>
      </c>
      <c r="J90" s="2" t="s">
        <v>1271</v>
      </c>
      <c r="K90" s="2" t="s">
        <v>624</v>
      </c>
      <c r="L90" s="3">
        <f>IF(OR(TRIM(I90)="",TRIM(K90)=""),"",IFERROR((VALUE(LEFT(TRIM(I90),4))-VALUE(LEFT(TRIM(K90),4)))*12+VALUE(MID(TRIM(I90),6,2))-VALUE(MID(TRIM(K90),6,2)),""))</f>
        <v>18</v>
      </c>
      <c r="M90" s="2" t="str">
        <f>IF(TRIM(H90)="","",IFERROR(LOOKUP(2,1/(ISNUMBER(SEARCH('منطق دسته‌بندی'!$A$2:$A$187,H90))),'منطق دسته‌بندی'!$B$2:$B$187),"سایر (نیازمند بررسی دستی)"))</f>
        <v>یخساز - خرابی موتور (تعویض)</v>
      </c>
      <c r="N90" s="2" t="s">
        <v>1272</v>
      </c>
      <c r="O90" s="2" t="str" cm="1">
        <f t="array" ref="O90">IF(A90="","",IF(SUMPRODUCT(($B$2:$B$965=B90)*($C$2:$C$965=C90)*($D$2:$D$965=D90)*($E$2:$E$965=E90)*($F$2:$F$965=F90)*($G$2:$G$965=G90)*($H$2:$H$965=H90)*($I$2:$I$965=I90)*($J$2:$J$965=J90)*($K$2:$K$965=K90)*($N$2:$N$965=N90))=1,"خیر",IF(SUMPRODUCT(($B$2:B90=B90)*($C$2:C90=C90)*($D$2:D90=D90)*($E$2:E90=E90)*($F$2:F90=F90)*($G$2:G90=G90)*($H$2:H90=H90)*($I$2:I90=I90)*($J$2:J90=J90)*($K$2:K90=K90)*($N$2:N90=N90))=1,"بله-1","بله")))</f>
        <v>خیر</v>
      </c>
      <c r="P90" s="5" t="str" cm="1">
        <f t="array" ref="P90">IF(A90="","",IF(SUMPRODUCT(($F$2:$F$969=F90)*($I$2:$I$969=I90))=1,"خیر",IF(SUMPRODUCT(($F$2:F90=F90)*($I$2:I90=I90))=1,"بله-1","بله")))</f>
        <v>خیر</v>
      </c>
    </row>
    <row r="91" spans="1:16" ht="37.5" x14ac:dyDescent="0.25">
      <c r="A91" s="2">
        <v>510024985</v>
      </c>
      <c r="B91" s="2" t="s">
        <v>1950</v>
      </c>
      <c r="C91" s="2" t="s">
        <v>1951</v>
      </c>
      <c r="D91" s="2" t="s">
        <v>122</v>
      </c>
      <c r="E91" s="2" t="s">
        <v>123</v>
      </c>
      <c r="F91" s="2" t="s">
        <v>1087</v>
      </c>
      <c r="G91" s="2" t="s">
        <v>1419</v>
      </c>
      <c r="H91" s="2" t="s">
        <v>1398</v>
      </c>
      <c r="I91" s="2" t="s">
        <v>1420</v>
      </c>
      <c r="J91" s="2" t="s">
        <v>1271</v>
      </c>
      <c r="K91" s="2" t="s">
        <v>624</v>
      </c>
      <c r="L91" s="3">
        <f>IF(OR(TRIM(I91)="",TRIM(K91)=""),"",IFERROR((VALUE(LEFT(TRIM(I91),4))-VALUE(LEFT(TRIM(K91),4)))*12+VALUE(MID(TRIM(I91),6,2))-VALUE(MID(TRIM(K91),6,2)),""))</f>
        <v>19</v>
      </c>
      <c r="M91" s="2" t="str">
        <f>IF(TRIM(H91)="","",IFERROR(LOOKUP(2,1/(ISNUMBER(SEARCH('منطق دسته‌بندی'!$A$2:$A$187,H91))),'منطق دسته‌بندی'!$B$2:$B$187),"سایر (نیازمند بررسی دستی)"))</f>
        <v>یخساز - تنظیم/عایق (تعمیر)</v>
      </c>
      <c r="N91" s="2" t="s">
        <v>1421</v>
      </c>
      <c r="O91" s="2" t="str" cm="1">
        <f t="array" ref="O91">IF(A91="","",IF(SUMPRODUCT(($B$2:$B$965=B91)*($C$2:$C$965=C91)*($D$2:$D$965=D91)*($E$2:$E$965=E91)*($F$2:$F$965=F91)*($G$2:$G$965=G91)*($H$2:$H$965=H91)*($I$2:$I$965=I91)*($J$2:$J$965=J91)*($K$2:$K$965=K91)*($N$2:$N$965=N91))=1,"خیر",IF(SUMPRODUCT(($B$2:B91=B91)*($C$2:C91=C91)*($D$2:D91=D91)*($E$2:E91=E91)*($F$2:F91=F91)*($G$2:G91=G91)*($H$2:H91=H91)*($I$2:I91=I91)*($J$2:J91=J91)*($K$2:K91=K91)*($N$2:N91=N91))=1,"بله-1","بله")))</f>
        <v>خیر</v>
      </c>
      <c r="P91" s="5" t="str" cm="1">
        <f t="array" ref="P91">IF(A91="","",IF(SUMPRODUCT(($F$2:$F$969=F91)*($I$2:$I$969=I91))=1,"خیر",IF(SUMPRODUCT(($F$2:F91=F91)*($I$2:I91=I91))=1,"بله-1","بله")))</f>
        <v>خیر</v>
      </c>
    </row>
    <row r="92" spans="1:16" ht="37.5" x14ac:dyDescent="0.25">
      <c r="A92" s="2">
        <v>510024378</v>
      </c>
      <c r="B92" s="2" t="s">
        <v>1040</v>
      </c>
      <c r="C92" s="2" t="s">
        <v>1041</v>
      </c>
      <c r="D92" s="2" t="s">
        <v>122</v>
      </c>
      <c r="E92" s="2" t="s">
        <v>123</v>
      </c>
      <c r="F92" s="2" t="s">
        <v>1527</v>
      </c>
      <c r="G92" s="2" t="s">
        <v>1528</v>
      </c>
      <c r="H92" s="2" t="s">
        <v>1409</v>
      </c>
      <c r="I92" s="2" t="s">
        <v>1451</v>
      </c>
      <c r="J92" s="2" t="s">
        <v>859</v>
      </c>
      <c r="K92" s="2" t="s">
        <v>1529</v>
      </c>
      <c r="L92" s="3">
        <f>IF(OR(TRIM(I92)="",TRIM(K92)=""),"",IFERROR((VALUE(LEFT(TRIM(I92),4))-VALUE(LEFT(TRIM(K92),4)))*12+VALUE(MID(TRIM(I92),6,2))-VALUE(MID(TRIM(K92),6,2)),""))</f>
        <v>2</v>
      </c>
      <c r="M92" s="2" t="str">
        <f>IF(TRIM(H92)="","",IFERROR(LOOKUP(2,1/(ISNUMBER(SEARCH('منطق دسته‌بندی'!$A$2:$A$187,H92))),'منطق دسته‌بندی'!$B$2:$B$187),"سایر (نیازمند بررسی دستی)"))</f>
        <v>یخساز - خرابی موتور (تعویض)</v>
      </c>
      <c r="N92" s="2" t="s">
        <v>1495</v>
      </c>
      <c r="O92" s="2" t="str" cm="1">
        <f t="array" ref="O92">IF(A92="","",IF(SUMPRODUCT(($B$2:$B$965=B92)*($C$2:$C$965=C92)*($D$2:$D$965=D92)*($E$2:$E$965=E92)*($F$2:$F$965=F92)*($G$2:$G$965=G92)*($H$2:$H$965=H92)*($I$2:$I$965=I92)*($J$2:$J$965=J92)*($K$2:$K$965=K92)*($N$2:$N$965=N92))=1,"خیر",IF(SUMPRODUCT(($B$2:B92=B92)*($C$2:C92=C92)*($D$2:D92=D92)*($E$2:E92=E92)*($F$2:F92=F92)*($G$2:G92=G92)*($H$2:H92=H92)*($I$2:I92=I92)*($J$2:J92=J92)*($K$2:K92=K92)*($N$2:N92=N92))=1,"بله-1","بله")))</f>
        <v>خیر</v>
      </c>
      <c r="P92" s="5" t="str" cm="1">
        <f t="array" ref="P92">IF(A92="","",IF(SUMPRODUCT(($F$2:$F$969=F92)*($I$2:$I$969=I92))=1,"خیر",IF(SUMPRODUCT(($F$2:F92=F92)*($I$2:I92=I92))=1,"بله-1","بله")))</f>
        <v>خیر</v>
      </c>
    </row>
    <row r="93" spans="1:16" ht="18.75" x14ac:dyDescent="0.25">
      <c r="A93" s="2" t="s">
        <v>1277</v>
      </c>
      <c r="B93" s="2" t="s">
        <v>1040</v>
      </c>
      <c r="C93" s="2" t="s">
        <v>1041</v>
      </c>
      <c r="D93" s="2" t="s">
        <v>122</v>
      </c>
      <c r="E93" s="2" t="s">
        <v>123</v>
      </c>
      <c r="F93" s="2" t="s">
        <v>1278</v>
      </c>
      <c r="G93" s="2" t="s">
        <v>1211</v>
      </c>
      <c r="H93" s="2" t="s">
        <v>1279</v>
      </c>
      <c r="I93" s="2" t="s">
        <v>1280</v>
      </c>
      <c r="J93" s="2" t="s">
        <v>879</v>
      </c>
      <c r="K93" s="2" t="s">
        <v>1281</v>
      </c>
      <c r="L93" s="3">
        <f>IF(OR(TRIM(I93)="",TRIM(K93)=""),"",IFERROR((VALUE(LEFT(TRIM(I93),4))-VALUE(LEFT(TRIM(K93),4)))*12+VALUE(MID(TRIM(I93),6,2))-VALUE(MID(TRIM(K93),6,2)),""))</f>
        <v>18</v>
      </c>
      <c r="M93" s="2" t="str">
        <f>IF(TRIM(H93)="","",IFERROR(LOOKUP(2,1/(ISNUMBER(SEARCH('منطق دسته‌بندی'!$A$2:$A$187,H93))),'منطق دسته‌بندی'!$B$2:$B$187),"سایر (نیازمند بررسی دستی)"))</f>
        <v>وان/کابین - ترک (نیازمند تعویض/بررسی)</v>
      </c>
      <c r="N93" s="2" t="s">
        <v>24</v>
      </c>
      <c r="O93" s="2" t="str" cm="1">
        <f t="array" ref="O93">IF(A93="","",IF(SUMPRODUCT(($B$2:$B$965=B93)*($C$2:$C$965=C93)*($D$2:$D$965=D93)*($E$2:$E$965=E93)*($F$2:$F$965=F93)*($G$2:$G$965=G93)*($H$2:$H$965=H93)*($I$2:$I$965=I93)*($J$2:$J$965=J93)*($K$2:$K$965=K93)*($N$2:$N$965=N93))=1,"خیر",IF(SUMPRODUCT(($B$2:B93=B93)*($C$2:C93=C93)*($D$2:D93=D93)*($E$2:E93=E93)*($F$2:F93=F93)*($G$2:G93=G93)*($H$2:H93=H93)*($I$2:I93=I93)*($J$2:J93=J93)*($K$2:K93=K93)*($N$2:N93=N93))=1,"بله-1","بله")))</f>
        <v>خیر</v>
      </c>
      <c r="P93" s="5" t="str" cm="1">
        <f t="array" ref="P93">IF(A93="","",IF(SUMPRODUCT(($F$2:$F$969=F93)*($I$2:$I$969=I93))=1,"خیر",IF(SUMPRODUCT(($F$2:F93=F93)*($I$2:I93=I93))=1,"بله-1","بله")))</f>
        <v>خیر</v>
      </c>
    </row>
    <row r="94" spans="1:16" ht="18.75" x14ac:dyDescent="0.25">
      <c r="A94" s="2" t="s">
        <v>748</v>
      </c>
      <c r="B94" s="2" t="s">
        <v>632</v>
      </c>
      <c r="C94" s="2" t="s">
        <v>633</v>
      </c>
      <c r="D94" s="2" t="s">
        <v>122</v>
      </c>
      <c r="E94" s="2" t="s">
        <v>123</v>
      </c>
      <c r="F94" s="2" t="s">
        <v>749</v>
      </c>
      <c r="G94" s="2" t="s">
        <v>750</v>
      </c>
      <c r="H94" s="2" t="s">
        <v>751</v>
      </c>
      <c r="I94" s="2" t="s">
        <v>752</v>
      </c>
      <c r="J94" s="2" t="s">
        <v>753</v>
      </c>
      <c r="K94" s="2" t="s">
        <v>529</v>
      </c>
      <c r="L94" s="3">
        <f>IF(OR(TRIM(I94)="",TRIM(K94)=""),"",IFERROR((VALUE(LEFT(TRIM(I94),4))-VALUE(LEFT(TRIM(K94),4)))*12+VALUE(MID(TRIM(I94),6,2))-VALUE(MID(TRIM(K94),6,2)),""))</f>
        <v>19</v>
      </c>
      <c r="M94" s="2" t="str">
        <f>IF(TRIM(H94)="","",IFERROR(LOOKUP(2,1/(ISNUMBER(SEARCH('منطق دسته‌بندی'!$A$2:$A$187,H94))),'منطق دسته‌بندی'!$B$2:$B$187),"سایر (نیازمند بررسی دستی)"))</f>
        <v>آرام‌بند درب (تعویض)</v>
      </c>
      <c r="N94" s="2" t="s">
        <v>754</v>
      </c>
      <c r="O94" s="2" t="str" cm="1">
        <f t="array" ref="O94">IF(A94="","",IF(SUMPRODUCT(($B$2:$B$965=B94)*($C$2:$C$965=C94)*($D$2:$D$965=D94)*($E$2:$E$965=E94)*($F$2:$F$965=F94)*($G$2:$G$965=G94)*($H$2:$H$965=H94)*($I$2:$I$965=I94)*($J$2:$J$965=J94)*($K$2:$K$965=K94)*($N$2:$N$965=N94))=1,"خیر",IF(SUMPRODUCT(($B$2:B94=B94)*($C$2:C94=C94)*($D$2:D94=D94)*($E$2:E94=E94)*($F$2:F94=F94)*($G$2:G94=G94)*($H$2:H94=H94)*($I$2:I94=I94)*($J$2:J94=J94)*($K$2:K94=K94)*($N$2:N94=N94))=1,"بله-1","بله")))</f>
        <v>خیر</v>
      </c>
      <c r="P94" s="5" t="str" cm="1">
        <f t="array" ref="P94">IF(A94="","",IF(SUMPRODUCT(($F$2:$F$969=F94)*($I$2:$I$969=I94))=1,"خیر",IF(SUMPRODUCT(($F$2:F94=F94)*($I$2:I94=I94))=1,"بله-1","بله")))</f>
        <v>خیر</v>
      </c>
    </row>
    <row r="95" spans="1:16" ht="18.75" x14ac:dyDescent="0.25">
      <c r="A95" s="2" t="s">
        <v>383</v>
      </c>
      <c r="B95" s="2" t="s">
        <v>16</v>
      </c>
      <c r="C95" s="2" t="s">
        <v>17</v>
      </c>
      <c r="D95" s="2" t="s">
        <v>122</v>
      </c>
      <c r="E95" s="2" t="s">
        <v>123</v>
      </c>
      <c r="F95" s="2" t="s">
        <v>384</v>
      </c>
      <c r="G95" s="2" t="s">
        <v>125</v>
      </c>
      <c r="H95" s="2" t="s">
        <v>126</v>
      </c>
      <c r="I95" s="2" t="s">
        <v>364</v>
      </c>
      <c r="J95" s="2" t="s">
        <v>385</v>
      </c>
      <c r="K95" s="2" t="s">
        <v>128</v>
      </c>
      <c r="L95" s="3">
        <f>IF(OR(TRIM(I95)="",TRIM(K95)=""),"",IFERROR((VALUE(LEFT(TRIM(I95),4))-VALUE(LEFT(TRIM(K95),4)))*12+VALUE(MID(TRIM(I95),6,2))-VALUE(MID(TRIM(K95),6,2)),""))</f>
        <v>8</v>
      </c>
      <c r="M95" s="2" t="str">
        <f>IF(TRIM(H95)="","",IFERROR(LOOKUP(2,1/(ISNUMBER(SEARCH('منطق دسته‌بندی'!$A$2:$A$187,H95))),'منطق دسته‌بندی'!$B$2:$B$187),"سایر (نیازمند بررسی دستی)"))</f>
        <v>غیرگارانتی/بدون قطعه</v>
      </c>
      <c r="N95" s="2" t="s">
        <v>24</v>
      </c>
      <c r="O95" s="2" t="str" cm="1">
        <f t="array" ref="O95">IF(A95="","",IF(SUMPRODUCT(($B$2:$B$965=B95)*($C$2:$C$965=C95)*($D$2:$D$965=D95)*($E$2:$E$965=E95)*($F$2:$F$965=F95)*($G$2:$G$965=G95)*($H$2:$H$965=H95)*($I$2:$I$965=I95)*($J$2:$J$965=J95)*($K$2:$K$965=K95)*($N$2:$N$965=N95))=1,"خیر",IF(SUMPRODUCT(($B$2:B95=B95)*($C$2:C95=C95)*($D$2:D95=D95)*($E$2:E95=E95)*($F$2:F95=F95)*($G$2:G95=G95)*($H$2:H95=H95)*($I$2:I95=I95)*($J$2:J95=J95)*($K$2:K95=K95)*($N$2:N95=N95))=1,"بله-1","بله")))</f>
        <v>خیر</v>
      </c>
      <c r="P95" s="5" t="str" cm="1">
        <f t="array" ref="P95">IF(A95="","",IF(SUMPRODUCT(($F$2:$F$969=F95)*($I$2:$I$969=I95))=1,"خیر",IF(SUMPRODUCT(($F$2:F95=F95)*($I$2:I95=I95))=1,"بله-1","بله")))</f>
        <v>خیر</v>
      </c>
    </row>
    <row r="96" spans="1:16" ht="18.75" x14ac:dyDescent="0.25">
      <c r="A96" s="2" t="s">
        <v>1286</v>
      </c>
      <c r="B96" s="2" t="s">
        <v>1040</v>
      </c>
      <c r="C96" s="2" t="s">
        <v>1041</v>
      </c>
      <c r="D96" s="2" t="s">
        <v>122</v>
      </c>
      <c r="E96" s="15" t="s">
        <v>123</v>
      </c>
      <c r="F96" s="2" t="s">
        <v>1287</v>
      </c>
      <c r="G96" s="2" t="s">
        <v>1288</v>
      </c>
      <c r="H96" s="2" t="s">
        <v>1289</v>
      </c>
      <c r="I96" s="2" t="s">
        <v>1280</v>
      </c>
      <c r="J96" s="2" t="s">
        <v>318</v>
      </c>
      <c r="K96" s="2" t="s">
        <v>1185</v>
      </c>
      <c r="L96" s="3">
        <f>IF(OR(TRIM(I96)="",TRIM(K96)=""),"",IFERROR((VALUE(LEFT(TRIM(I96),4))-VALUE(LEFT(TRIM(K96),4)))*12+VALUE(MID(TRIM(I96),6,2))-VALUE(MID(TRIM(K96),6,2)),""))</f>
        <v>0</v>
      </c>
      <c r="M96" s="2" t="str">
        <f>IF(TRIM(H96)="","",IFERROR(LOOKUP(2,1/(ISNUMBER(SEARCH('منطق دسته‌بندی'!$A$2:$A$187,H96))),'منطق دسته‌بندی'!$B$2:$B$187),"سایر (نیازمند بررسی دستی)"))</f>
        <v>آرام‌بند درب (تعویض)</v>
      </c>
      <c r="N96" s="2" t="s">
        <v>1290</v>
      </c>
      <c r="O96" s="2" t="str" cm="1">
        <f t="array" ref="O96">IF(A96="","",IF(SUMPRODUCT(($B$2:$B$965=B96)*($C$2:$C$965=C96)*($D$2:$D$965=D96)*($E$2:$E$965=E96)*($F$2:$F$965=F96)*($G$2:$G$965=G96)*($H$2:$H$965=H96)*($I$2:$I$965=I96)*($J$2:$J$965=J96)*($K$2:$K$965=K96)*($N$2:$N$965=N96))=1,"خیر",IF(SUMPRODUCT(($B$2:B96=B96)*($C$2:C96=C96)*($D$2:D96=D96)*($E$2:E96=E96)*($F$2:F96=F96)*($G$2:G96=G96)*($H$2:H96=H96)*($I$2:I96=I96)*($J$2:J96=J96)*($K$2:K96=K96)*($N$2:N96=N96))=1,"بله-1","بله")))</f>
        <v>خیر</v>
      </c>
      <c r="P96" s="5" t="str" cm="1">
        <f t="array" ref="P96">IF(A96="","",IF(SUMPRODUCT(($F$2:$F$969=F96)*($I$2:$I$969=I96))=1,"خیر",IF(SUMPRODUCT(($F$2:F96=F96)*($I$2:I96=I96))=1,"بله-1","بله")))</f>
        <v>خیر</v>
      </c>
    </row>
    <row r="97" spans="1:16" ht="37.5" x14ac:dyDescent="0.25">
      <c r="A97" s="2" t="s">
        <v>1133</v>
      </c>
      <c r="B97" s="2" t="s">
        <v>1040</v>
      </c>
      <c r="C97" s="2" t="s">
        <v>1041</v>
      </c>
      <c r="D97" s="2" t="s">
        <v>122</v>
      </c>
      <c r="E97" s="2" t="s">
        <v>123</v>
      </c>
      <c r="F97" s="2" t="s">
        <v>1134</v>
      </c>
      <c r="G97" s="2" t="s">
        <v>250</v>
      </c>
      <c r="H97" s="2" t="s">
        <v>263</v>
      </c>
      <c r="I97" s="2" t="s">
        <v>1128</v>
      </c>
      <c r="J97" s="2" t="s">
        <v>1135</v>
      </c>
      <c r="K97" s="2" t="s">
        <v>1136</v>
      </c>
      <c r="L97" s="3">
        <f>IF(OR(TRIM(I97)="",TRIM(K97)=""),"",IFERROR((VALUE(LEFT(TRIM(I97),4))-VALUE(LEFT(TRIM(K97),4)))*12+VALUE(MID(TRIM(I97),6,2))-VALUE(MID(TRIM(K97),6,2)),""))</f>
        <v>21</v>
      </c>
      <c r="M97" s="2" t="str">
        <f>IF(TRIM(H97)="","",IFERROR(LOOKUP(2,1/(ISNUMBER(SEARCH('منطق دسته‌بندی'!$A$2:$A$187,H97))),'منطق دسته‌بندی'!$B$2:$B$187),"سایر (نیازمند بررسی دستی)"))</f>
        <v>یخساز - تنظیم/عایق (تعمیر)</v>
      </c>
      <c r="N97" s="2" t="s">
        <v>24</v>
      </c>
      <c r="O97" s="2" t="str" cm="1">
        <f t="array" ref="O97">IF(A97="","",IF(SUMPRODUCT(($B$2:$B$965=B97)*($C$2:$C$965=C97)*($D$2:$D$965=D97)*($E$2:$E$965=E97)*($F$2:$F$965=F97)*($G$2:$G$965=G97)*($H$2:$H$965=H97)*($I$2:$I$965=I97)*($J$2:$J$965=J97)*($K$2:$K$965=K97)*($N$2:$N$965=N97))=1,"خیر",IF(SUMPRODUCT(($B$2:B97=B97)*($C$2:C97=C97)*($D$2:D97=D97)*($E$2:E97=E97)*($F$2:F97=F97)*($G$2:G97=G97)*($H$2:H97=H97)*($I$2:I97=I97)*($J$2:J97=J97)*($K$2:K97=K97)*($N$2:N97=N97))=1,"بله-1","بله")))</f>
        <v>خیر</v>
      </c>
      <c r="P97" s="5" t="str" cm="1">
        <f t="array" ref="P97">IF(A97="","",IF(SUMPRODUCT(($F$2:$F$969=F97)*($I$2:$I$969=I97))=1,"خیر",IF(SUMPRODUCT(($F$2:F97=F97)*($I$2:I97=I97))=1,"بله-1","بله")))</f>
        <v>خیر</v>
      </c>
    </row>
    <row r="98" spans="1:16" ht="18.75" x14ac:dyDescent="0.25">
      <c r="A98" s="2" t="s">
        <v>316</v>
      </c>
      <c r="B98" s="2" t="s">
        <v>16</v>
      </c>
      <c r="C98" s="2" t="s">
        <v>17</v>
      </c>
      <c r="D98" s="2" t="s">
        <v>122</v>
      </c>
      <c r="E98" s="2" t="s">
        <v>123</v>
      </c>
      <c r="F98" s="2" t="s">
        <v>317</v>
      </c>
      <c r="G98" s="2" t="s">
        <v>204</v>
      </c>
      <c r="H98" s="2" t="s">
        <v>251</v>
      </c>
      <c r="I98" s="2" t="s">
        <v>309</v>
      </c>
      <c r="J98" s="2" t="s">
        <v>318</v>
      </c>
      <c r="K98" s="2" t="s">
        <v>318</v>
      </c>
      <c r="L98" s="3">
        <f>IF(OR(TRIM(I98)="",TRIM(K98)=""),"",IFERROR((VALUE(LEFT(TRIM(I98),4))-VALUE(LEFT(TRIM(K98),4)))*12+VALUE(MID(TRIM(I98),6,2))-VALUE(MID(TRIM(K98),6,2)),""))</f>
        <v>20</v>
      </c>
      <c r="M98" s="2" t="str">
        <f>IF(TRIM(H98)="","",IFERROR(LOOKUP(2,1/(ISNUMBER(SEARCH('منطق دسته‌بندی'!$A$2:$A$187,H98))),'منطق دسته‌بندی'!$B$2:$B$187),"سایر (نیازمند بررسی دستی)"))</f>
        <v>یخساز - کاور (تعویض)</v>
      </c>
      <c r="N98" s="2" t="s">
        <v>254</v>
      </c>
      <c r="O98" s="2" t="str" cm="1">
        <f t="array" ref="O98">IF(A98="","",IF(SUMPRODUCT(($B$2:$B$965=B98)*($C$2:$C$965=C98)*($D$2:$D$965=D98)*($E$2:$E$965=E98)*($F$2:$F$965=F98)*($G$2:$G$965=G98)*($H$2:$H$965=H98)*($I$2:$I$965=I98)*($J$2:$J$965=J98)*($K$2:$K$965=K98)*($N$2:$N$965=N98))=1,"خیر",IF(SUMPRODUCT(($B$2:B98=B98)*($C$2:C98=C98)*($D$2:D98=D98)*($E$2:E98=E98)*($F$2:F98=F98)*($G$2:G98=G98)*($H$2:H98=H98)*($I$2:I98=I98)*($J$2:J98=J98)*($K$2:K98=K98)*($N$2:N98=N98))=1,"بله-1","بله")))</f>
        <v>خیر</v>
      </c>
      <c r="P98" s="5" t="str" cm="1">
        <f t="array" ref="P98">IF(A98="","",IF(SUMPRODUCT(($F$2:$F$969=F98)*($I$2:$I$969=I98))=1,"خیر",IF(SUMPRODUCT(($F$2:F98=F98)*($I$2:I98=I98))=1,"بله-1","بله")))</f>
        <v>خیر</v>
      </c>
    </row>
    <row r="99" spans="1:16" ht="37.5" x14ac:dyDescent="0.25">
      <c r="A99" s="2" t="s">
        <v>367</v>
      </c>
      <c r="B99" s="2" t="s">
        <v>16</v>
      </c>
      <c r="C99" s="2" t="s">
        <v>17</v>
      </c>
      <c r="D99" s="2" t="s">
        <v>122</v>
      </c>
      <c r="E99" s="2" t="s">
        <v>123</v>
      </c>
      <c r="F99" s="2" t="s">
        <v>368</v>
      </c>
      <c r="G99" s="2" t="s">
        <v>369</v>
      </c>
      <c r="H99" s="2" t="s">
        <v>263</v>
      </c>
      <c r="I99" s="2" t="s">
        <v>364</v>
      </c>
      <c r="J99" s="2" t="s">
        <v>370</v>
      </c>
      <c r="K99" s="2" t="s">
        <v>371</v>
      </c>
      <c r="L99" s="3">
        <f>IF(OR(TRIM(I99)="",TRIM(K99)=""),"",IFERROR((VALUE(LEFT(TRIM(I99),4))-VALUE(LEFT(TRIM(K99),4)))*12+VALUE(MID(TRIM(I99),6,2))-VALUE(MID(TRIM(K99),6,2)),""))</f>
        <v>9</v>
      </c>
      <c r="M99" s="2" t="str">
        <f>IF(TRIM(H99)="","",IFERROR(LOOKUP(2,1/(ISNUMBER(SEARCH('منطق دسته‌بندی'!$A$2:$A$187,H99))),'منطق دسته‌بندی'!$B$2:$B$187),"سایر (نیازمند بررسی دستی)"))</f>
        <v>یخساز - تنظیم/عایق (تعمیر)</v>
      </c>
      <c r="N99" s="2" t="s">
        <v>24</v>
      </c>
      <c r="O99" s="2" t="str" cm="1">
        <f t="array" ref="O99">IF(A99="","",IF(SUMPRODUCT(($B$2:$B$965=B99)*($C$2:$C$965=C99)*($D$2:$D$965=D99)*($E$2:$E$965=E99)*($F$2:$F$965=F99)*($G$2:$G$965=G99)*($H$2:$H$965=H99)*($I$2:$I$965=I99)*($J$2:$J$965=J99)*($K$2:$K$965=K99)*($N$2:$N$965=N99))=1,"خیر",IF(SUMPRODUCT(($B$2:B99=B99)*($C$2:C99=C99)*($D$2:D99=D99)*($E$2:E99=E99)*($F$2:F99=F99)*($G$2:G99=G99)*($H$2:H99=H99)*($I$2:I99=I99)*($J$2:J99=J99)*($K$2:K99=K99)*($N$2:N99=N99))=1,"بله-1","بله")))</f>
        <v>خیر</v>
      </c>
      <c r="P99" s="5" t="str" cm="1">
        <f t="array" ref="P99">IF(A99="","",IF(SUMPRODUCT(($F$2:$F$969=F99)*($I$2:$I$969=I99))=1,"خیر",IF(SUMPRODUCT(($F$2:F99=F99)*($I$2:I99=I99))=1,"بله-1","بله")))</f>
        <v>خیر</v>
      </c>
    </row>
    <row r="100" spans="1:16" ht="18.75" x14ac:dyDescent="0.25">
      <c r="A100" s="2" t="s">
        <v>419</v>
      </c>
      <c r="B100" s="2" t="s">
        <v>16</v>
      </c>
      <c r="C100" s="2" t="s">
        <v>17</v>
      </c>
      <c r="D100" s="2" t="s">
        <v>122</v>
      </c>
      <c r="E100" s="2" t="s">
        <v>123</v>
      </c>
      <c r="F100" s="2" t="s">
        <v>420</v>
      </c>
      <c r="G100" s="2" t="s">
        <v>421</v>
      </c>
      <c r="H100" s="2" t="s">
        <v>422</v>
      </c>
      <c r="I100" s="2" t="s">
        <v>415</v>
      </c>
      <c r="J100" s="2" t="s">
        <v>423</v>
      </c>
      <c r="K100" s="2" t="s">
        <v>424</v>
      </c>
      <c r="L100" s="3">
        <f>IF(OR(TRIM(I100)="",TRIM(K100)=""),"",IFERROR((VALUE(LEFT(TRIM(I100),4))-VALUE(LEFT(TRIM(K100),4)))*12+VALUE(MID(TRIM(I100),6,2))-VALUE(MID(TRIM(K100),6,2)),""))</f>
        <v>10</v>
      </c>
      <c r="M100" s="2" t="str">
        <f>IF(TRIM(H100)="","",IFERROR(LOOKUP(2,1/(ISNUMBER(SEARCH('منطق دسته‌بندی'!$A$2:$A$187,H100))),'منطق دسته‌بندی'!$B$2:$B$187),"سایر (نیازمند بررسی دستی)"))</f>
        <v>یخساز - خرابی موتور (تعویض)</v>
      </c>
      <c r="N100" s="2" t="s">
        <v>425</v>
      </c>
      <c r="O100" s="2" t="str" cm="1">
        <f t="array" ref="O100">IF(A100="","",IF(SUMPRODUCT(($B$2:$B$965=B100)*($C$2:$C$965=C100)*($D$2:$D$965=D100)*($E$2:$E$965=E100)*($F$2:$F$965=F100)*($G$2:$G$965=G100)*($H$2:$H$965=H100)*($I$2:$I$965=I100)*($J$2:$J$965=J100)*($K$2:$K$965=K100)*($N$2:$N$965=N100))=1,"خیر",IF(SUMPRODUCT(($B$2:B100=B100)*($C$2:C100=C100)*($D$2:D100=D100)*($E$2:E100=E100)*($F$2:F100=F100)*($G$2:G100=G100)*($H$2:H100=H100)*($I$2:I100=I100)*($J$2:J100=J100)*($K$2:K100=K100)*($N$2:N100=N100))=1,"بله-1","بله")))</f>
        <v>خیر</v>
      </c>
      <c r="P100" s="5" t="str" cm="1">
        <f t="array" ref="P100">IF(A100="","",IF(SUMPRODUCT(($F$2:$F$969=F100)*($I$2:$I$969=I100))=1,"خیر",IF(SUMPRODUCT(($F$2:F100=F100)*($I$2:I100=I100))=1,"بله-1","بله")))</f>
        <v>خیر</v>
      </c>
    </row>
    <row r="101" spans="1:16" ht="18.75" x14ac:dyDescent="0.25">
      <c r="A101" s="2" t="s">
        <v>1291</v>
      </c>
      <c r="B101" s="2" t="s">
        <v>1040</v>
      </c>
      <c r="C101" s="2" t="s">
        <v>1041</v>
      </c>
      <c r="D101" s="2" t="s">
        <v>122</v>
      </c>
      <c r="E101" s="2" t="s">
        <v>123</v>
      </c>
      <c r="F101" s="2" t="s">
        <v>420</v>
      </c>
      <c r="G101" s="2" t="s">
        <v>250</v>
      </c>
      <c r="H101" s="2" t="s">
        <v>1292</v>
      </c>
      <c r="I101" s="2" t="s">
        <v>1280</v>
      </c>
      <c r="J101" s="2" t="s">
        <v>423</v>
      </c>
      <c r="K101" s="2" t="s">
        <v>424</v>
      </c>
      <c r="L101" s="3">
        <f>IF(OR(TRIM(I101)="",TRIM(K101)=""),"",IFERROR((VALUE(LEFT(TRIM(I101),4))-VALUE(LEFT(TRIM(K101),4)))*12+VALUE(MID(TRIM(I101),6,2))-VALUE(MID(TRIM(K101),6,2)),""))</f>
        <v>14</v>
      </c>
      <c r="M101" s="2" t="str">
        <f>IF(TRIM(H101)="","",IFERROR(LOOKUP(2,1/(ISNUMBER(SEARCH('منطق دسته‌بندی'!$A$2:$A$187,H101))),'منطق دسته‌بندی'!$B$2:$B$187),"سایر (نیازمند بررسی دستی)"))</f>
        <v>یخساز - قالب/کاور (تعویض/بازبینی)</v>
      </c>
      <c r="N101" s="2" t="s">
        <v>1078</v>
      </c>
      <c r="O101" s="2" t="str" cm="1">
        <f t="array" ref="O101">IF(A101="","",IF(SUMPRODUCT(($B$2:$B$965=B101)*($C$2:$C$965=C101)*($D$2:$D$965=D101)*($E$2:$E$965=E101)*($F$2:$F$965=F101)*($G$2:$G$965=G101)*($H$2:$H$965=H101)*($I$2:$I$965=I101)*($J$2:$J$965=J101)*($K$2:$K$965=K101)*($N$2:$N$965=N101))=1,"خیر",IF(SUMPRODUCT(($B$2:B101=B101)*($C$2:C101=C101)*($D$2:D101=D101)*($E$2:E101=E101)*($F$2:F101=F101)*($G$2:G101=G101)*($H$2:H101=H101)*($I$2:I101=I101)*($J$2:J101=J101)*($K$2:K101=K101)*($N$2:N101=N101))=1,"بله-1","بله")))</f>
        <v>خیر</v>
      </c>
      <c r="P101" s="5" t="str" cm="1">
        <f t="array" ref="P101">IF(A101="","",IF(SUMPRODUCT(($F$2:$F$969=F101)*($I$2:$I$969=I101))=1,"خیر",IF(SUMPRODUCT(($F$2:F101=F101)*($I$2:I101=I101))=1,"بله-1","بله")))</f>
        <v>خیر</v>
      </c>
    </row>
    <row r="102" spans="1:16" ht="37.5" x14ac:dyDescent="0.25">
      <c r="A102" s="2" t="s">
        <v>996</v>
      </c>
      <c r="B102" s="2" t="s">
        <v>881</v>
      </c>
      <c r="C102" s="2" t="s">
        <v>882</v>
      </c>
      <c r="D102" s="2" t="s">
        <v>122</v>
      </c>
      <c r="E102" s="2" t="s">
        <v>123</v>
      </c>
      <c r="F102" s="2" t="s">
        <v>997</v>
      </c>
      <c r="G102" s="2" t="s">
        <v>204</v>
      </c>
      <c r="H102" s="2" t="s">
        <v>263</v>
      </c>
      <c r="I102" s="2" t="s">
        <v>998</v>
      </c>
      <c r="J102" s="2" t="s">
        <v>423</v>
      </c>
      <c r="K102" s="2" t="s">
        <v>999</v>
      </c>
      <c r="L102" s="3">
        <f>IF(OR(TRIM(I102)="",TRIM(K102)=""),"",IFERROR((VALUE(LEFT(TRIM(I102),4))-VALUE(LEFT(TRIM(K102),4)))*12+VALUE(MID(TRIM(I102),6,2))-VALUE(MID(TRIM(K102),6,2)),""))</f>
        <v>6</v>
      </c>
      <c r="M102" s="2" t="str">
        <f>IF(TRIM(H102)="","",IFERROR(LOOKUP(2,1/(ISNUMBER(SEARCH('منطق دسته‌بندی'!$A$2:$A$187,H102))),'منطق دسته‌بندی'!$B$2:$B$187),"سایر (نیازمند بررسی دستی)"))</f>
        <v>یخساز - تنظیم/عایق (تعمیر)</v>
      </c>
      <c r="N102" s="2" t="s">
        <v>24</v>
      </c>
      <c r="O102" s="2" t="str" cm="1">
        <f t="array" ref="O102">IF(A102="","",IF(SUMPRODUCT(($B$2:$B$965=B102)*($C$2:$C$965=C102)*($D$2:$D$965=D102)*($E$2:$E$965=E102)*($F$2:$F$965=F102)*($G$2:$G$965=G102)*($H$2:$H$965=H102)*($I$2:$I$965=I102)*($J$2:$J$965=J102)*($K$2:$K$965=K102)*($N$2:$N$965=N102))=1,"خیر",IF(SUMPRODUCT(($B$2:B102=B102)*($C$2:C102=C102)*($D$2:D102=D102)*($E$2:E102=E102)*($F$2:F102=F102)*($G$2:G102=G102)*($H$2:H102=H102)*($I$2:I102=I102)*($J$2:J102=J102)*($K$2:K102=K102)*($N$2:N102=N102))=1,"بله-1","بله")))</f>
        <v>خیر</v>
      </c>
      <c r="P102" s="5" t="str" cm="1">
        <f t="array" ref="P102">IF(A102="","",IF(SUMPRODUCT(($F$2:$F$969=F102)*($I$2:$I$969=I102))=1,"خیر",IF(SUMPRODUCT(($F$2:F102=F102)*($I$2:I102=I102))=1,"بله-1","بله")))</f>
        <v>خیر</v>
      </c>
    </row>
    <row r="103" spans="1:16" ht="37.5" x14ac:dyDescent="0.25">
      <c r="A103" s="2" t="s">
        <v>311</v>
      </c>
      <c r="B103" s="2" t="s">
        <v>16</v>
      </c>
      <c r="C103" s="2" t="s">
        <v>17</v>
      </c>
      <c r="D103" s="2" t="s">
        <v>122</v>
      </c>
      <c r="E103" s="2" t="s">
        <v>123</v>
      </c>
      <c r="F103" s="2" t="s">
        <v>312</v>
      </c>
      <c r="G103" s="2" t="s">
        <v>313</v>
      </c>
      <c r="H103" s="2" t="s">
        <v>205</v>
      </c>
      <c r="I103" s="2" t="s">
        <v>309</v>
      </c>
      <c r="J103" s="2" t="s">
        <v>314</v>
      </c>
      <c r="K103" s="2" t="s">
        <v>315</v>
      </c>
      <c r="L103" s="3">
        <f>IF(OR(TRIM(I103)="",TRIM(K103)=""),"",IFERROR((VALUE(LEFT(TRIM(I103),4))-VALUE(LEFT(TRIM(K103),4)))*12+VALUE(MID(TRIM(I103),6,2))-VALUE(MID(TRIM(K103),6,2)),""))</f>
        <v>9</v>
      </c>
      <c r="M103" s="2" t="str">
        <f>IF(TRIM(H103)="","",IFERROR(LOOKUP(2,1/(ISNUMBER(SEARCH('منطق دسته‌بندی'!$A$2:$A$187,H103))),'منطق دسته‌بندی'!$B$2:$B$187),"سایر (نیازمند بررسی دستی)"))</f>
        <v>یخساز - تنظیم/عایق (تعمیر)</v>
      </c>
      <c r="N103" s="2" t="s">
        <v>24</v>
      </c>
      <c r="O103" s="2" t="str" cm="1">
        <f t="array" ref="O103">IF(A103="","",IF(SUMPRODUCT(($B$2:$B$965=B103)*($C$2:$C$965=C103)*($D$2:$D$965=D103)*($E$2:$E$965=E103)*($F$2:$F$965=F103)*($G$2:$G$965=G103)*($H$2:$H$965=H103)*($I$2:$I$965=I103)*($J$2:$J$965=J103)*($K$2:$K$965=K103)*($N$2:$N$965=N103))=1,"خیر",IF(SUMPRODUCT(($B$2:B103=B103)*($C$2:C103=C103)*($D$2:D103=D103)*($E$2:E103=E103)*($F$2:F103=F103)*($G$2:G103=G103)*($H$2:H103=H103)*($I$2:I103=I103)*($J$2:J103=J103)*($K$2:K103=K103)*($N$2:N103=N103))=1,"بله-1","بله")))</f>
        <v>خیر</v>
      </c>
      <c r="P103" s="5" t="str" cm="1">
        <f t="array" ref="P103">IF(A103="","",IF(SUMPRODUCT(($F$2:$F$969=F103)*($I$2:$I$969=I103))=1,"خیر",IF(SUMPRODUCT(($F$2:F103=F103)*($I$2:I103=I103))=1,"بله-1","بله")))</f>
        <v>خیر</v>
      </c>
    </row>
    <row r="104" spans="1:16" ht="18.75" x14ac:dyDescent="0.25">
      <c r="A104" s="2" t="s">
        <v>917</v>
      </c>
      <c r="B104" s="2" t="s">
        <v>881</v>
      </c>
      <c r="C104" s="2" t="s">
        <v>882</v>
      </c>
      <c r="D104" s="2" t="s">
        <v>122</v>
      </c>
      <c r="E104" s="2" t="s">
        <v>123</v>
      </c>
      <c r="F104" s="2" t="s">
        <v>890</v>
      </c>
      <c r="G104" s="2" t="s">
        <v>918</v>
      </c>
      <c r="H104" s="2" t="s">
        <v>533</v>
      </c>
      <c r="I104" s="2" t="s">
        <v>919</v>
      </c>
      <c r="J104" s="2" t="s">
        <v>423</v>
      </c>
      <c r="K104" s="2" t="s">
        <v>463</v>
      </c>
      <c r="L104" s="3">
        <f>IF(OR(TRIM(I104)="",TRIM(K104)=""),"",IFERROR((VALUE(LEFT(TRIM(I104),4))-VALUE(LEFT(TRIM(K104),4)))*12+VALUE(MID(TRIM(I104),6,2))-VALUE(MID(TRIM(K104),6,2)),""))</f>
        <v>17</v>
      </c>
      <c r="M104" s="2" t="str">
        <f>IF(TRIM(H104)="","",IFERROR(LOOKUP(2,1/(ISNUMBER(SEARCH('منطق دسته‌بندی'!$A$2:$A$187,H104))),'منطق دسته‌بندی'!$B$2:$B$187),"سایر (نیازمند بررسی دستی)"))</f>
        <v>مکانیزم درب - لولا (تنظیم)</v>
      </c>
      <c r="N104" s="2" t="s">
        <v>24</v>
      </c>
      <c r="O104" s="2" t="str" cm="1">
        <f t="array" ref="O104">IF(A104="","",IF(SUMPRODUCT(($B$2:$B$965=B104)*($C$2:$C$965=C104)*($D$2:$D$965=D104)*($E$2:$E$965=E104)*($F$2:$F$965=F104)*($G$2:$G$965=G104)*($H$2:$H$965=H104)*($I$2:$I$965=I104)*($J$2:$J$965=J104)*($K$2:$K$965=K104)*($N$2:$N$965=N104))=1,"خیر",IF(SUMPRODUCT(($B$2:B104=B104)*($C$2:C104=C104)*($D$2:D104=D104)*($E$2:E104=E104)*($F$2:F104=F104)*($G$2:G104=G104)*($H$2:H104=H104)*($I$2:I104=I104)*($J$2:J104=J104)*($K$2:K104=K104)*($N$2:N104=N104))=1,"بله-1","بله")))</f>
        <v>خیر</v>
      </c>
      <c r="P104" s="5" t="str" cm="1">
        <f t="array" ref="P104">IF(A104="","",IF(SUMPRODUCT(($F$2:$F$969=F104)*($I$2:$I$969=I104))=1,"خیر",IF(SUMPRODUCT(($F$2:F104=F104)*($I$2:I104=I104))=1,"بله-1","بله")))</f>
        <v>خیر</v>
      </c>
    </row>
    <row r="105" spans="1:16" ht="18.75" x14ac:dyDescent="0.25">
      <c r="A105" s="2" t="s">
        <v>889</v>
      </c>
      <c r="B105" s="2" t="s">
        <v>881</v>
      </c>
      <c r="C105" s="2" t="s">
        <v>882</v>
      </c>
      <c r="D105" s="2" t="s">
        <v>122</v>
      </c>
      <c r="E105" s="2" t="s">
        <v>123</v>
      </c>
      <c r="F105" s="2" t="s">
        <v>890</v>
      </c>
      <c r="G105" s="2" t="s">
        <v>891</v>
      </c>
      <c r="H105" s="2" t="s">
        <v>892</v>
      </c>
      <c r="I105" s="2" t="s">
        <v>888</v>
      </c>
      <c r="J105" s="2" t="s">
        <v>423</v>
      </c>
      <c r="K105" s="2" t="s">
        <v>463</v>
      </c>
      <c r="L105" s="3">
        <f>IF(OR(TRIM(I105)="",TRIM(K105)=""),"",IFERROR((VALUE(LEFT(TRIM(I105),4))-VALUE(LEFT(TRIM(K105),4)))*12+VALUE(MID(TRIM(I105),6,2))-VALUE(MID(TRIM(K105),6,2)),""))</f>
        <v>17</v>
      </c>
      <c r="M105" s="2" t="str">
        <f>IF(TRIM(H105)="","",IFERROR(LOOKUP(2,1/(ISNUMBER(SEARCH('منطق دسته‌بندی'!$A$2:$A$187,H105))),'منطق دسته‌بندی'!$B$2:$B$187),"سایر (نیازمند بررسی دستی)"))</f>
        <v>مکانیزم درب - گریسکاری/تنظیم</v>
      </c>
      <c r="N105" s="2" t="s">
        <v>24</v>
      </c>
      <c r="O105" s="2" t="str" cm="1">
        <f t="array" ref="O105">IF(A105="","",IF(SUMPRODUCT(($B$2:$B$965=B105)*($C$2:$C$965=C105)*($D$2:$D$965=D105)*($E$2:$E$965=E105)*($F$2:$F$965=F105)*($G$2:$G$965=G105)*($H$2:$H$965=H105)*($I$2:$I$965=I105)*($J$2:$J$965=J105)*($K$2:$K$965=K105)*($N$2:$N$965=N105))=1,"خیر",IF(SUMPRODUCT(($B$2:B105=B105)*($C$2:C105=C105)*($D$2:D105=D105)*($E$2:E105=E105)*($F$2:F105=F105)*($G$2:G105=G105)*($H$2:H105=H105)*($I$2:I105=I105)*($J$2:J105=J105)*($K$2:K105=K105)*($N$2:N105=N105))=1,"بله-1","بله")))</f>
        <v>خیر</v>
      </c>
      <c r="P105" s="5" t="str" cm="1">
        <f t="array" ref="P105">IF(A105="","",IF(SUMPRODUCT(($F$2:$F$969=F105)*($I$2:$I$969=I105))=1,"خیر",IF(SUMPRODUCT(($F$2:F105=F105)*($I$2:I105=I105))=1,"بله-1","بله")))</f>
        <v>خیر</v>
      </c>
    </row>
    <row r="106" spans="1:16" ht="18.75" x14ac:dyDescent="0.25">
      <c r="A106" s="2" t="s">
        <v>202</v>
      </c>
      <c r="B106" s="2" t="s">
        <v>16</v>
      </c>
      <c r="C106" s="2" t="s">
        <v>17</v>
      </c>
      <c r="D106" s="2" t="s">
        <v>122</v>
      </c>
      <c r="E106" s="2" t="s">
        <v>123</v>
      </c>
      <c r="F106" s="2" t="s">
        <v>203</v>
      </c>
      <c r="G106" s="2" t="s">
        <v>204</v>
      </c>
      <c r="H106" s="2" t="s">
        <v>205</v>
      </c>
      <c r="I106" s="2" t="s">
        <v>47</v>
      </c>
      <c r="J106" s="2" t="s">
        <v>206</v>
      </c>
      <c r="K106" s="2" t="s">
        <v>207</v>
      </c>
      <c r="L106" s="3">
        <f>IF(OR(TRIM(I106)="",TRIM(K106)=""),"",IFERROR((VALUE(LEFT(TRIM(I106),4))-VALUE(LEFT(TRIM(K106),4)))*12+VALUE(MID(TRIM(I106),6,2))-VALUE(MID(TRIM(K106),6,2)),""))</f>
        <v>9</v>
      </c>
      <c r="M106" s="2" t="str">
        <f>IF(TRIM(H106)="","",IFERROR(LOOKUP(2,1/(ISNUMBER(SEARCH('منطق دسته‌بندی'!$A$2:$A$187,H106))),'منطق دسته‌بندی'!$B$2:$B$187),"سایر (نیازمند بررسی دستی)"))</f>
        <v>یخساز - تنظیم/عایق (تعمیر)</v>
      </c>
      <c r="N106" s="2" t="s">
        <v>24</v>
      </c>
      <c r="O106" s="2" t="str" cm="1">
        <f t="array" ref="O106">IF(A106="","",IF(SUMPRODUCT(($B$2:$B$965=B106)*($C$2:$C$965=C106)*($D$2:$D$965=D106)*($E$2:$E$965=E106)*($F$2:$F$965=F106)*($G$2:$G$965=G106)*($H$2:$H$965=H106)*($I$2:$I$965=I106)*($J$2:$J$965=J106)*($K$2:$K$965=K106)*($N$2:$N$965=N106))=1,"خیر",IF(SUMPRODUCT(($B$2:B106=B106)*($C$2:C106=C106)*($D$2:D106=D106)*($E$2:E106=E106)*($F$2:F106=F106)*($G$2:G106=G106)*($H$2:H106=H106)*($I$2:I106=I106)*($J$2:J106=J106)*($K$2:K106=K106)*($N$2:N106=N106))=1,"بله-1","بله")))</f>
        <v>خیر</v>
      </c>
      <c r="P106" s="5" t="str" cm="1">
        <f t="array" ref="P106">IF(A106="","",IF(SUMPRODUCT(($F$2:$F$969=F106)*($I$2:$I$969=I106))=1,"خیر",IF(SUMPRODUCT(($F$2:F106=F106)*($I$2:I106=I106))=1,"بله-1","بله")))</f>
        <v>خیر</v>
      </c>
    </row>
    <row r="107" spans="1:16" ht="37.5" x14ac:dyDescent="0.25">
      <c r="A107" s="2" t="s">
        <v>1341</v>
      </c>
      <c r="B107" s="2" t="s">
        <v>1040</v>
      </c>
      <c r="C107" s="2" t="s">
        <v>1041</v>
      </c>
      <c r="D107" s="2" t="s">
        <v>122</v>
      </c>
      <c r="E107" s="2" t="s">
        <v>123</v>
      </c>
      <c r="F107" s="2" t="s">
        <v>1342</v>
      </c>
      <c r="G107" s="2" t="s">
        <v>250</v>
      </c>
      <c r="H107" s="2" t="s">
        <v>263</v>
      </c>
      <c r="I107" s="2" t="s">
        <v>1338</v>
      </c>
      <c r="J107" s="2" t="s">
        <v>314</v>
      </c>
      <c r="K107" s="2" t="s">
        <v>1343</v>
      </c>
      <c r="L107" s="3">
        <f>IF(OR(TRIM(I107)="",TRIM(K107)=""),"",IFERROR((VALUE(LEFT(TRIM(I107),4))-VALUE(LEFT(TRIM(K107),4)))*12+VALUE(MID(TRIM(I107),6,2))-VALUE(MID(TRIM(K107),6,2)),""))</f>
        <v>13</v>
      </c>
      <c r="M107" s="2" t="str">
        <f>IF(TRIM(H107)="","",IFERROR(LOOKUP(2,1/(ISNUMBER(SEARCH('منطق دسته‌بندی'!$A$2:$A$187,H107))),'منطق دسته‌بندی'!$B$2:$B$187),"سایر (نیازمند بررسی دستی)"))</f>
        <v>یخساز - تنظیم/عایق (تعمیر)</v>
      </c>
      <c r="N107" s="2" t="s">
        <v>24</v>
      </c>
      <c r="O107" s="2" t="str" cm="1">
        <f t="array" ref="O107">IF(A107="","",IF(SUMPRODUCT(($B$2:$B$965=B107)*($C$2:$C$965=C107)*($D$2:$D$965=D107)*($E$2:$E$965=E107)*($F$2:$F$965=F107)*($G$2:$G$965=G107)*($H$2:$H$965=H107)*($I$2:$I$965=I107)*($J$2:$J$965=J107)*($K$2:$K$965=K107)*($N$2:$N$965=N107))=1,"خیر",IF(SUMPRODUCT(($B$2:B107=B107)*($C$2:C107=C107)*($D$2:D107=D107)*($E$2:E107=E107)*($F$2:F107=F107)*($G$2:G107=G107)*($H$2:H107=H107)*($I$2:I107=I107)*($J$2:J107=J107)*($K$2:K107=K107)*($N$2:N107=N107))=1,"بله-1","بله")))</f>
        <v>خیر</v>
      </c>
      <c r="P107" s="5" t="str" cm="1">
        <f t="array" ref="P107">IF(A107="","",IF(SUMPRODUCT(($F$2:$F$969=F107)*($I$2:$I$969=I107))=1,"خیر",IF(SUMPRODUCT(($F$2:F107=F107)*($I$2:I107=I107))=1,"بله-1","بله")))</f>
        <v>خیر</v>
      </c>
    </row>
    <row r="108" spans="1:16" ht="18.75" x14ac:dyDescent="0.25">
      <c r="A108" s="2">
        <v>130009999</v>
      </c>
      <c r="B108" s="2" t="s">
        <v>1040</v>
      </c>
      <c r="C108" s="2" t="s">
        <v>1041</v>
      </c>
      <c r="D108" s="2" t="s">
        <v>122</v>
      </c>
      <c r="E108" s="2" t="s">
        <v>123</v>
      </c>
      <c r="F108" s="2" t="s">
        <v>1413</v>
      </c>
      <c r="G108" s="2" t="s">
        <v>1414</v>
      </c>
      <c r="H108" s="2" t="s">
        <v>1415</v>
      </c>
      <c r="I108" s="2" t="s">
        <v>1416</v>
      </c>
      <c r="J108" s="2" t="s">
        <v>1417</v>
      </c>
      <c r="K108" s="2" t="s">
        <v>1123</v>
      </c>
      <c r="L108" s="3">
        <f>IF(OR(TRIM(I108)="",TRIM(K108)=""),"",IFERROR((VALUE(LEFT(TRIM(I108),4))-VALUE(LEFT(TRIM(K108),4)))*12+VALUE(MID(TRIM(I108),6,2))-VALUE(MID(TRIM(K108),6,2)),""))</f>
        <v>17</v>
      </c>
      <c r="M108" s="2" t="str">
        <f>IF(TRIM(H108)="","",IFERROR(LOOKUP(2,1/(ISNUMBER(SEARCH('منطق دسته‌بندی'!$A$2:$A$187,H108))),'منطق دسته‌بندی'!$B$2:$B$187),"سایر (نیازمند بررسی دستی)"))</f>
        <v>خرابی - شیربرقی (تعویض)</v>
      </c>
      <c r="N108" s="2" t="s">
        <v>1418</v>
      </c>
      <c r="O108" s="2" t="str" cm="1">
        <f t="array" ref="O108">IF(A108="","",IF(SUMPRODUCT(($B$2:$B$965=B108)*($C$2:$C$965=C108)*($D$2:$D$965=D108)*($E$2:$E$965=E108)*($F$2:$F$965=F108)*($G$2:$G$965=G108)*($H$2:$H$965=H108)*($I$2:$I$965=I108)*($J$2:$J$965=J108)*($K$2:$K$965=K108)*($N$2:$N$965=N108))=1,"خیر",IF(SUMPRODUCT(($B$2:B108=B108)*($C$2:C108=C108)*($D$2:D108=D108)*($E$2:E108=E108)*($F$2:F108=F108)*($G$2:G108=G108)*($H$2:H108=H108)*($I$2:I108=I108)*($J$2:J108=J108)*($K$2:K108=K108)*($N$2:N108=N108))=1,"بله-1","بله")))</f>
        <v>خیر</v>
      </c>
      <c r="P108" s="5" t="str" cm="1">
        <f t="array" ref="P108">IF(A108="","",IF(SUMPRODUCT(($F$2:$F$969=F108)*($I$2:$I$969=I108))=1,"خیر",IF(SUMPRODUCT(($F$2:F108=F108)*($I$2:I108=I108))=1,"بله-1","بله")))</f>
        <v>خیر</v>
      </c>
    </row>
    <row r="109" spans="1:16" ht="18.75" x14ac:dyDescent="0.25">
      <c r="A109" s="2" t="s">
        <v>967</v>
      </c>
      <c r="B109" s="2" t="s">
        <v>881</v>
      </c>
      <c r="C109" s="2" t="s">
        <v>882</v>
      </c>
      <c r="D109" s="2" t="s">
        <v>122</v>
      </c>
      <c r="E109" s="2" t="s">
        <v>123</v>
      </c>
      <c r="F109" s="2" t="s">
        <v>968</v>
      </c>
      <c r="G109" s="2" t="s">
        <v>125</v>
      </c>
      <c r="H109" s="2" t="s">
        <v>126</v>
      </c>
      <c r="I109" s="2" t="s">
        <v>969</v>
      </c>
      <c r="J109" s="2" t="s">
        <v>970</v>
      </c>
      <c r="K109" s="2" t="s">
        <v>411</v>
      </c>
      <c r="L109" s="3">
        <f>IF(OR(TRIM(I109)="",TRIM(K109)=""),"",IFERROR((VALUE(LEFT(TRIM(I109),4))-VALUE(LEFT(TRIM(K109),4)))*12+VALUE(MID(TRIM(I109),6,2))-VALUE(MID(TRIM(K109),6,2)),""))</f>
        <v>12</v>
      </c>
      <c r="M109" s="2" t="str">
        <f>IF(TRIM(H109)="","",IFERROR(LOOKUP(2,1/(ISNUMBER(SEARCH('منطق دسته‌بندی'!$A$2:$A$187,H109))),'منطق دسته‌بندی'!$B$2:$B$187),"سایر (نیازمند بررسی دستی)"))</f>
        <v>غیرگارانتی/بدون قطعه</v>
      </c>
      <c r="N109" s="2" t="s">
        <v>24</v>
      </c>
      <c r="O109" s="2" t="str" cm="1">
        <f t="array" ref="O109">IF(A109="","",IF(SUMPRODUCT(($B$2:$B$965=B109)*($C$2:$C$965=C109)*($D$2:$D$965=D109)*($E$2:$E$965=E109)*($F$2:$F$965=F109)*($G$2:$G$965=G109)*($H$2:$H$965=H109)*($I$2:$I$965=I109)*($J$2:$J$965=J109)*($K$2:$K$965=K109)*($N$2:$N$965=N109))=1,"خیر",IF(SUMPRODUCT(($B$2:B109=B109)*($C$2:C109=C109)*($D$2:D109=D109)*($E$2:E109=E109)*($F$2:F109=F109)*($G$2:G109=G109)*($H$2:H109=H109)*($I$2:I109=I109)*($J$2:J109=J109)*($K$2:K109=K109)*($N$2:N109=N109))=1,"بله-1","بله")))</f>
        <v>خیر</v>
      </c>
      <c r="P109" s="5" t="str" cm="1">
        <f t="array" ref="P109">IF(A109="","",IF(SUMPRODUCT(($F$2:$F$969=F109)*($I$2:$I$969=I109))=1,"خیر",IF(SUMPRODUCT(($F$2:F109=F109)*($I$2:I109=I109))=1,"بله-1","بله")))</f>
        <v>خیر</v>
      </c>
    </row>
    <row r="110" spans="1:16" ht="56.25" x14ac:dyDescent="0.25">
      <c r="A110" s="2">
        <v>210024127</v>
      </c>
      <c r="B110" s="2" t="s">
        <v>1950</v>
      </c>
      <c r="C110" s="2" t="s">
        <v>1951</v>
      </c>
      <c r="D110" s="2" t="s">
        <v>122</v>
      </c>
      <c r="E110" s="2" t="s">
        <v>123</v>
      </c>
      <c r="F110" s="2" t="s">
        <v>1407</v>
      </c>
      <c r="G110" s="2" t="s">
        <v>1408</v>
      </c>
      <c r="H110" s="2" t="s">
        <v>1409</v>
      </c>
      <c r="I110" s="2" t="s">
        <v>1410</v>
      </c>
      <c r="J110" s="2" t="s">
        <v>206</v>
      </c>
      <c r="K110" s="2" t="s">
        <v>1411</v>
      </c>
      <c r="L110" s="3">
        <f>IF(OR(TRIM(I110)="",TRIM(K110)=""),"",IFERROR((VALUE(LEFT(TRIM(I110),4))-VALUE(LEFT(TRIM(K110),4)))*12+VALUE(MID(TRIM(I110),6,2))-VALUE(MID(TRIM(K110),6,2)),""))</f>
        <v>8</v>
      </c>
      <c r="M110" s="2" t="str">
        <f>IF(TRIM(H110)="","",IFERROR(LOOKUP(2,1/(ISNUMBER(SEARCH('منطق دسته‌بندی'!$A$2:$A$187,H110))),'منطق دسته‌بندی'!$B$2:$B$187),"سایر (نیازمند بررسی دستی)"))</f>
        <v>یخساز - خرابی موتور (تعویض)</v>
      </c>
      <c r="N110" s="2" t="s">
        <v>1412</v>
      </c>
      <c r="O110" s="2" t="str" cm="1">
        <f t="array" ref="O110">IF(A110="","",IF(SUMPRODUCT(($B$2:$B$965=B110)*($C$2:$C$965=C110)*($D$2:$D$965=D110)*($E$2:$E$965=E110)*($F$2:$F$965=F110)*($G$2:$G$965=G110)*($H$2:$H$965=H110)*($I$2:$I$965=I110)*($J$2:$J$965=J110)*($K$2:$K$965=K110)*($N$2:$N$965=N110))=1,"خیر",IF(SUMPRODUCT(($B$2:B110=B110)*($C$2:C110=C110)*($D$2:D110=D110)*($E$2:E110=E110)*($F$2:F110=F110)*($G$2:G110=G110)*($H$2:H110=H110)*($I$2:I110=I110)*($J$2:J110=J110)*($K$2:K110=K110)*($N$2:N110=N110))=1,"بله-1","بله")))</f>
        <v>خیر</v>
      </c>
      <c r="P110" s="5" t="str" cm="1">
        <f t="array" ref="P110">IF(A110="","",IF(SUMPRODUCT(($F$2:$F$969=F110)*($I$2:$I$969=I110))=1,"خیر",IF(SUMPRODUCT(($F$2:F110=F110)*($I$2:I110=I110))=1,"بله-1","بله")))</f>
        <v>خیر</v>
      </c>
    </row>
    <row r="111" spans="1:16" ht="37.5" x14ac:dyDescent="0.25">
      <c r="A111" s="2" t="s">
        <v>1157</v>
      </c>
      <c r="B111" s="2" t="s">
        <v>1040</v>
      </c>
      <c r="C111" s="2" t="s">
        <v>1041</v>
      </c>
      <c r="D111" s="2" t="s">
        <v>122</v>
      </c>
      <c r="E111" s="2" t="s">
        <v>123</v>
      </c>
      <c r="F111" s="2" t="s">
        <v>1158</v>
      </c>
      <c r="G111" s="2" t="s">
        <v>250</v>
      </c>
      <c r="H111" s="2" t="s">
        <v>263</v>
      </c>
      <c r="I111" s="2" t="s">
        <v>1159</v>
      </c>
      <c r="J111" s="2" t="s">
        <v>131</v>
      </c>
      <c r="K111" s="2" t="s">
        <v>674</v>
      </c>
      <c r="L111" s="3">
        <f>IF(OR(TRIM(I111)="",TRIM(K111)=""),"",IFERROR((VALUE(LEFT(TRIM(I111),4))-VALUE(LEFT(TRIM(K111),4)))*12+VALUE(MID(TRIM(I111),6,2))-VALUE(MID(TRIM(K111),6,2)),""))</f>
        <v>12</v>
      </c>
      <c r="M111" s="2" t="str">
        <f>IF(TRIM(H111)="","",IFERROR(LOOKUP(2,1/(ISNUMBER(SEARCH('منطق دسته‌بندی'!$A$2:$A$187,H111))),'منطق دسته‌بندی'!$B$2:$B$187),"سایر (نیازمند بررسی دستی)"))</f>
        <v>یخساز - تنظیم/عایق (تعمیر)</v>
      </c>
      <c r="N111" s="2" t="s">
        <v>1160</v>
      </c>
      <c r="O111" s="2" t="str" cm="1">
        <f t="array" ref="O111">IF(A111="","",IF(SUMPRODUCT(($B$2:$B$965=B111)*($C$2:$C$965=C111)*($D$2:$D$965=D111)*($E$2:$E$965=E111)*($F$2:$F$965=F111)*($G$2:$G$965=G111)*($H$2:$H$965=H111)*($I$2:$I$965=I111)*($J$2:$J$965=J111)*($K$2:$K$965=K111)*($N$2:$N$965=N111))=1,"خیر",IF(SUMPRODUCT(($B$2:B111=B111)*($C$2:C111=C111)*($D$2:D111=D111)*($E$2:E111=E111)*($F$2:F111=F111)*($G$2:G111=G111)*($H$2:H111=H111)*($I$2:I111=I111)*($J$2:J111=J111)*($K$2:K111=K111)*($N$2:N111=N111))=1,"بله-1","بله")))</f>
        <v>خیر</v>
      </c>
      <c r="P111" s="5" t="str" cm="1">
        <f t="array" ref="P111">IF(A111="","",IF(SUMPRODUCT(($F$2:$F$969=F111)*($I$2:$I$969=I111))=1,"خیر",IF(SUMPRODUCT(($F$2:F111=F111)*($I$2:I111=I111))=1,"بله-1","بله")))</f>
        <v>خیر</v>
      </c>
    </row>
    <row r="112" spans="1:16" ht="18.75" x14ac:dyDescent="0.25">
      <c r="A112" s="2" t="s">
        <v>771</v>
      </c>
      <c r="B112" s="2" t="s">
        <v>632</v>
      </c>
      <c r="C112" s="2" t="s">
        <v>633</v>
      </c>
      <c r="D112" s="2" t="s">
        <v>122</v>
      </c>
      <c r="E112" s="2" t="s">
        <v>123</v>
      </c>
      <c r="F112" s="2" t="s">
        <v>772</v>
      </c>
      <c r="G112" s="2" t="s">
        <v>125</v>
      </c>
      <c r="H112" s="2" t="s">
        <v>126</v>
      </c>
      <c r="I112" s="2" t="s">
        <v>773</v>
      </c>
      <c r="J112" s="2" t="s">
        <v>774</v>
      </c>
      <c r="K112" s="2" t="s">
        <v>775</v>
      </c>
      <c r="L112" s="3">
        <f>IF(OR(TRIM(I112)="",TRIM(K112)=""),"",IFERROR((VALUE(LEFT(TRIM(I112),4))-VALUE(LEFT(TRIM(K112),4)))*12+VALUE(MID(TRIM(I112),6,2))-VALUE(MID(TRIM(K112),6,2)),""))</f>
        <v>7</v>
      </c>
      <c r="M112" s="2" t="str">
        <f>IF(TRIM(H112)="","",IFERROR(LOOKUP(2,1/(ISNUMBER(SEARCH('منطق دسته‌بندی'!$A$2:$A$187,H112))),'منطق دسته‌بندی'!$B$2:$B$187),"سایر (نیازمند بررسی دستی)"))</f>
        <v>غیرگارانتی/بدون قطعه</v>
      </c>
      <c r="N112" s="2" t="s">
        <v>24</v>
      </c>
      <c r="O112" s="2" t="str" cm="1">
        <f t="array" ref="O112">IF(A112="","",IF(SUMPRODUCT(($B$2:$B$965=B112)*($C$2:$C$965=C112)*($D$2:$D$965=D112)*($E$2:$E$965=E112)*($F$2:$F$965=F112)*($G$2:$G$965=G112)*($H$2:$H$965=H112)*($I$2:$I$965=I112)*($J$2:$J$965=J112)*($K$2:$K$965=K112)*($N$2:$N$965=N112))=1,"خیر",IF(SUMPRODUCT(($B$2:B112=B112)*($C$2:C112=C112)*($D$2:D112=D112)*($E$2:E112=E112)*($F$2:F112=F112)*($G$2:G112=G112)*($H$2:H112=H112)*($I$2:I112=I112)*($J$2:J112=J112)*($K$2:K112=K112)*($N$2:N112=N112))=1,"بله-1","بله")))</f>
        <v>خیر</v>
      </c>
      <c r="P112" s="5" t="str" cm="1">
        <f t="array" ref="P112">IF(A112="","",IF(SUMPRODUCT(($F$2:$F$969=F112)*($I$2:$I$969=I112))=1,"خیر",IF(SUMPRODUCT(($F$2:F112=F112)*($I$2:I112=I112))=1,"بله-1","بله")))</f>
        <v>خیر</v>
      </c>
    </row>
    <row r="113" spans="1:16" ht="37.5" x14ac:dyDescent="0.25">
      <c r="A113" s="2" t="s">
        <v>1238</v>
      </c>
      <c r="B113" s="2" t="s">
        <v>1040</v>
      </c>
      <c r="C113" s="2" t="s">
        <v>1041</v>
      </c>
      <c r="D113" s="2" t="s">
        <v>122</v>
      </c>
      <c r="E113" s="2" t="s">
        <v>123</v>
      </c>
      <c r="F113" s="2" t="s">
        <v>1239</v>
      </c>
      <c r="G113" s="2" t="s">
        <v>1024</v>
      </c>
      <c r="H113" s="2" t="s">
        <v>263</v>
      </c>
      <c r="I113" s="2" t="s">
        <v>1240</v>
      </c>
      <c r="J113" s="2" t="s">
        <v>1027</v>
      </c>
      <c r="K113" s="2" t="s">
        <v>74</v>
      </c>
      <c r="L113" s="3">
        <f>IF(OR(TRIM(I113)="",TRIM(K113)=""),"",IFERROR((VALUE(LEFT(TRIM(I113),4))-VALUE(LEFT(TRIM(K113),4)))*12+VALUE(MID(TRIM(I113),6,2))-VALUE(MID(TRIM(K113),6,2)),""))</f>
        <v>18</v>
      </c>
      <c r="M113" s="2" t="str">
        <f>IF(TRIM(H113)="","",IFERROR(LOOKUP(2,1/(ISNUMBER(SEARCH('منطق دسته‌بندی'!$A$2:$A$187,H113))),'منطق دسته‌بندی'!$B$2:$B$187),"سایر (نیازمند بررسی دستی)"))</f>
        <v>یخساز - تنظیم/عایق (تعمیر)</v>
      </c>
      <c r="N113" s="2" t="s">
        <v>1241</v>
      </c>
      <c r="O113" s="2" t="str" cm="1">
        <f t="array" ref="O113">IF(A113="","",IF(SUMPRODUCT(($B$2:$B$965=B113)*($C$2:$C$965=C113)*($D$2:$D$965=D113)*($E$2:$E$965=E113)*($F$2:$F$965=F113)*($G$2:$G$965=G113)*($H$2:$H$965=H113)*($I$2:$I$965=I113)*($J$2:$J$965=J113)*($K$2:$K$965=K113)*($N$2:$N$965=N113))=1,"خیر",IF(SUMPRODUCT(($B$2:B113=B113)*($C$2:C113=C113)*($D$2:D113=D113)*($E$2:E113=E113)*($F$2:F113=F113)*($G$2:G113=G113)*($H$2:H113=H113)*($I$2:I113=I113)*($J$2:J113=J113)*($K$2:K113=K113)*($N$2:N113=N113))=1,"بله-1","بله")))</f>
        <v>خیر</v>
      </c>
      <c r="P113" s="5" t="str" cm="1">
        <f t="array" ref="P113">IF(A113="","",IF(SUMPRODUCT(($F$2:$F$969=F113)*($I$2:$I$969=I113))=1,"خیر",IF(SUMPRODUCT(($F$2:F113=F113)*($I$2:I113=I113))=1,"بله-1","بله")))</f>
        <v>خیر</v>
      </c>
    </row>
    <row r="114" spans="1:16" ht="56.25" x14ac:dyDescent="0.25">
      <c r="A114" s="2">
        <v>130012010</v>
      </c>
      <c r="B114" s="2" t="s">
        <v>1950</v>
      </c>
      <c r="C114" s="2" t="s">
        <v>1951</v>
      </c>
      <c r="D114" s="2" t="s">
        <v>2018</v>
      </c>
      <c r="E114" s="2" t="s">
        <v>123</v>
      </c>
      <c r="F114" s="2" t="s">
        <v>1239</v>
      </c>
      <c r="G114" s="2" t="s">
        <v>1408</v>
      </c>
      <c r="H114" s="2" t="s">
        <v>1989</v>
      </c>
      <c r="I114" s="2" t="s">
        <v>1995</v>
      </c>
      <c r="J114" s="2" t="s">
        <v>1027</v>
      </c>
      <c r="K114" s="2" t="s">
        <v>74</v>
      </c>
      <c r="L114" s="3">
        <f>IF(OR(TRIM(I114)="",TRIM(K114)=""),"",IFERROR((VALUE(LEFT(TRIM(I114),4))-VALUE(LEFT(TRIM(K114),4)))*12+VALUE(MID(TRIM(I114),6,2))-VALUE(MID(TRIM(K114),6,2)),""))</f>
        <v>19</v>
      </c>
      <c r="M114" s="2" t="str">
        <f>IF(OR(ISNUMBER(SEARCH("بدون مورد",H114)),ISNUMBER(SEARCH("غير گارانتي",H114)),ISNUMBER(SEARCH("غیر گارانتی",H114)),ISNUMBER(SEARCH("بدون اجرت",H114)),ISNUMBER(SEARCH("فيلتر",H114)),ISNUMBER(SEARCH("فیلتر",H114))),"غیرگارانتی/بدون قطعه",IF(OR(ISNUMBER(SEARCH("ريست",H114)),ISNUMBER(SEARCH("ریست",H114))),"ریست نرم‌افزاری (بدون قطعه)",IF(OR(ISNUMBER(SEARCH("تعویض محصول",H114)),ISNUMBER(SEARCH("تعویض دستگاه",H114))),"تعویض کامل دستگاه (Replacement)",IF(ISNUMBER(SEARCH("پمپ",H114)),IF(ISNUMBER(SEARCH("نشت",H114)),"نشتی - پمپ تخلیه (تعمیر/آب‌بندی)","خرابی - پمپ تخلیه (تعویض)"),IF(ISNUMBER(SEARCH("کمپرسور",H114)),"خرابی - کمپرسور (تعویض)",IF(ISNUMBER(SEARCH("کمک فنر",H114)),"خرابی - کمک فنر (تعویض)",IF(ISNUMBER(SEARCH("لولا",H114)),"مکانیزم درب - لولا (تعویض)",IF(OR(ISNUMBER(SEARCH("قلاب",H114)),ISNUMBER(SEARCH("ميکروسوئيچ",H114)),ISNUMBER(SEARCH("میکروسوئیچ",H114))),"مکانیزم درب - میکروسوئیچ/قلاب (تعویض/تنظیم)",IF(ISNUMBER(SEARCH("زبانه",H114)),"مکانیزم درب - زبانه (تعویض)",IF(OR(ISNUMBER(SEARCH("شيلنگ",H114)),ISNUMBER(SEARCH("شیلنگ",H114))),IF(OR(ISNUMBER(SEARCH("نشتی",H114)),ISNUMBER(SEARCH("نشتي",H114))),"نشتی - شیلنگ (تعمیر/آب‌بندی)",IF(OR(ISNUMBER(SEARCH("يخ",H114)),ISNUMBER(SEARCH("یخ",H114))),"شیلنگ یخساز - یخ‌زدگی (بازبینی)","شیلنگ - برخورد/لهیدگی (بازبینی)")),IF(OR(ISNUMBER(SEARCH("تنظيم ديسپل",H114)),ISNUMBER(SEARCH("تنظیم دیسپل",H114)),ISNUMBER(SEARCH("تنظيم صفحه نمايش",H114)),ISNUMBER(SEARCH("تنظیم صفحه نمایش",H114))),"تنظیم - تنظیمات دستگاه/دیسپلی (تعمیر)",IF(OR(ISNUMBER(SEARCH("برد",H114)),ISNUMBER(SEARCH("سوکت",H114)),ISNUMBER(SEARCH("ديسپل",H114)),ISNUMBER(SEARCH("دیسپل",H114))),"خرابی - برد الکترونیک (تعویض)",IF(OR(ISNUMBER(SEARCH("يخساز",H114)),ISNUMBER(SEARCH("یخساز",H114)),ISNUMBER(SEARCH("دمپر",H114))),IF(OR(ISNUMBER(SEARCH("خرابی",H114)),ISNUMBER(SEARCH("خراب",H114)),ISNUMBER(SEARCH("عدم کارکرد",H114)),ISNUMBER(SEARCH("عدم عملکرد",H114))),"یخساز - خرابی موتور/سنسور/برد (تعویض)","یخساز - تنظیم/عایق (تعمیر)"),IF(OR(ISNUMBER(SEARCH("لاستيک",H114)),ISNUMBER(SEARCH("لاستیک",H114))),"لاستیک درزگیر - دفرمگی/پارگی (تعویض)",IF(OR(ISNUMBER(SEARCH("گسکت",H114)),ISNUMBER(SEARCH("گسگت",H114))),"لاستیک درزگیر - دفرمگی/پارگی (تعویض)",IF(ISNUMBER(SEARCH("مخزن نمک",H114)),"نشتی - درب مخزن نمک (تعمیر/آب‌بندی)",IF(ISNUMBER(SEARCH("براکت",H114)),"نشتی - براکت ریل (تعمیر/آب‌بندی)",IF(ISNUMBER(SEARCH("جاپودر",H114)),"نشتی - جاپودری (تعمیر/آب‌بندی)",IF(ISNUMBER(SEARCH("مقسم",H114)),"نشتی - مقسم آب (تعمیر/آب‌بندی)",IF(OR(ISNUMBER(SEARCH("سنسور دما",H114)),ISNUMBER(SEARCH("ترموستات",H114))),"خرابی - ترموستات (تعویض)",IF(OR(ISNUMBER(SEARCH("هيدروستات",H114)),ISNUMBER(SEARCH("هیدروستات",H114))),"خرابی - هیدروستات (تعویض)",IF(OR(ISNUMBER(SEARCH("بلبرينگ",H114)),ISNUMBER(SEARCH("بلبرینگ",H114))),"خرابی - بلبرینگ (تعویض)",IF(OR(ISNUMBER(SEARCH("شيربرق",H114)),ISNUMBER(SEARCH("شیربرق",H114))),"خرابی - شیربرقی (تعویض)",IF(OR(ISNUMBER(SEARCH("واتر جت",H114)),ISNUMBER(SEARCH("واترجت",H114))),"خرابی - واترجت (تعویض)",IF(OR(ISNUMBER(SEARCH("سيم",H114)),ISNUMBER(SEARCH("سیم",H114)),ISNUMBER(SEARCH("اتصال",H114))),"سیم‌کشی/اتصالات (تعویض/بازبینی)",IF(OR(ISNUMBER(SEARCH("تصوير",H114)),ISNUMBER(SEARCH("تصویر",H114))),"برد نمایش تلویزیون (تعویض)",IF(OR(ISNUMBER(SEARCH("ريموت",H114)),ISNUMBER(SEARCH("ریموت",H114))),"ریموت کنترل (تعویض/تعمیر)",IF(OR(ISNUMBER(SEARCH("ال اي دي",H114)),ISNUMBER(SEARCH("ال ای دی",H114)),ISNUMBER(SEARCH("LED",H114))),"خرابی - لامپ/LED داخلی (تعویض)",IF(ISNUMBER(SEARCH("زنگ زدگ",H114)),"زنگ‌زدگی بدنه/قطعه (تعویض)",IF(OR(ISNUMBER(SEARCH("قطعات تزئين",H114)),ISNUMBER(SEARCH("قطعات تزئین",H114))),"قطعات تزئینی - شکستگی/کسری (تعویض)",IF(ISNUMBER(SEARCH("سبد",H114)),"سبد ظرفشویی - شکستگی (تعویض)",IF(ISNUMBER(SEARCH("تاب درام",H114)),"خرابی - تاب برداشتن درام (تعویض)",IF(ISNUMBER(SEARCH("درام",H114)),"خرابی - سایر ایراد درام (تعویض)",IF(ISNUMBER(SEARCH("موتور",H114)),"خرابی - موتور (تعویض)",IF(ISNUMBER(SEARCH("تسمه",H114)),"خرابی - تسمه (تعویض)",IF(OR(ISNUMBER(SEARCH("پيچ ولوم",H114)),ISNUMBER(SEARCH("پیچ ولوم",H114))),"تنظیم - پیچ ولوم/دکمه (تعمیر)",IF(OR(ISNUMBER(SEARCH("کسري قطعات",H114)),ISNUMBER(SEARCH("کسری قطعات",H114))),"کسری قطعات تزئینی (تعویض)",IF(ISNUMBER(SEARCH("پرچ",H114)),"پرچ/بدنه کابین(تعمیر)",IF(OR(ISNUMBER(SEARCH("نشت",H114)),ISNUMBER(SEARCH("آبريزش",H114)),ISNUMBER(SEARCH("آبریزش",H114))),"نشتی آب - محل نامشخص (نیازمند بازدید)",IF(ISNUMBER(SEARCH("درب",H114)),"سایر اجزای درب (بازبینی)",IF(ISNUMBER(SEARCH("ضربه",H114)),"بدنه/کابین - ضربه (بازبینی/تعویض پنل)",IF(ISNUMBER(SEARCH("تراز",H114)),"تراز/لرزش - نصب (رگلاژ پایه)",IF(OR(ISNUMBER(SEARCH("تعویض",H114)),ISNUMBER(SEARCH("تعويض",H114))),"تعویض کامل دستگاه (Replacement)","سایر (نیازمند بررسی دستی)")))))))))))))))))))))))))))))))))))))))))))</f>
        <v>یخساز - خرابی موتور/سنسور/برد (تعویض)</v>
      </c>
      <c r="N114" s="2" t="s">
        <v>1412</v>
      </c>
      <c r="O114" s="2" t="str" cm="1">
        <f t="array" ref="O114">IF(A114="","",IF(SUMPRODUCT(($B$2:$B$965=B114)*($C$2:$C$965=C114)*($D$2:$D$965=D114)*($E$2:$E$965=E114)*($F$2:$F$965=F114)*($G$2:$G$965=G114)*($H$2:$H$965=H114)*($I$2:$I$965=I114)*($J$2:$J$965=J114)*($K$2:$K$965=K114)*($N$2:$N$965=N114))=1,"خیر",IF(SUMPRODUCT(($B$2:B114=B114)*($C$2:C114=C114)*($D$2:D114=D114)*($E$2:E114=E114)*($F$2:F114=F114)*($G$2:G114=G114)*($H$2:H114=H114)*($I$2:I114=I114)*($J$2:J114=J114)*($K$2:K114=K114)*($N$2:N114=N114))=1,"بله-1","بله")))</f>
        <v>خیر</v>
      </c>
      <c r="P114" s="5" t="str" cm="1">
        <f t="array" ref="P114">IF(A114="","",IF(SUMPRODUCT(($F$2:$F$969=F114)*($I$2:$I$969=I114))=1,"خیر",IF(SUMPRODUCT(($F$2:F114=F114)*($I$2:I114=I114))=1,"بله-1","بله")))</f>
        <v>خیر</v>
      </c>
    </row>
    <row r="115" spans="1:16" ht="37.5" x14ac:dyDescent="0.25">
      <c r="A115" s="2">
        <v>210025953</v>
      </c>
      <c r="B115" s="2" t="s">
        <v>1950</v>
      </c>
      <c r="C115" s="2" t="s">
        <v>1951</v>
      </c>
      <c r="D115" s="2" t="s">
        <v>2018</v>
      </c>
      <c r="E115" s="2" t="s">
        <v>123</v>
      </c>
      <c r="F115" s="2" t="s">
        <v>1965</v>
      </c>
      <c r="G115" s="2" t="s">
        <v>1981</v>
      </c>
      <c r="H115" s="2" t="s">
        <v>1992</v>
      </c>
      <c r="I115" s="2" t="s">
        <v>1994</v>
      </c>
      <c r="J115" s="2" t="s">
        <v>590</v>
      </c>
      <c r="K115" s="2" t="s">
        <v>1512</v>
      </c>
      <c r="L115" s="3">
        <f>IF(OR(TRIM(I115)="",TRIM(K115)=""),"",IFERROR((VALUE(LEFT(TRIM(I115),4))-VALUE(LEFT(TRIM(K115),4)))*12+VALUE(MID(TRIM(I115),6,2))-VALUE(MID(TRIM(K115),6,2)),""))</f>
        <v>21</v>
      </c>
      <c r="M115" s="2" t="str">
        <f>IF(OR(ISNUMBER(SEARCH("بدون مورد",H115)),ISNUMBER(SEARCH("غير گارانتي",H115)),ISNUMBER(SEARCH("غیر گارانتی",H115)),ISNUMBER(SEARCH("بدون اجرت",H115)),ISNUMBER(SEARCH("فيلتر",H115)),ISNUMBER(SEARCH("فیلتر",H115))),"غیرگارانتی/بدون قطعه",IF(OR(ISNUMBER(SEARCH("ريست",H115)),ISNUMBER(SEARCH("ریست",H115))),"ریست نرم‌افزاری (بدون قطعه)",IF(OR(ISNUMBER(SEARCH("تعویض محصول",H115)),ISNUMBER(SEARCH("تعویض دستگاه",H115))),"تعویض کامل دستگاه (Replacement)",IF(ISNUMBER(SEARCH("پمپ",H115)),IF(ISNUMBER(SEARCH("نشت",H115)),"نشتی - پمپ تخلیه (تعمیر/آب‌بندی)","خرابی - پمپ تخلیه (تعویض)"),IF(ISNUMBER(SEARCH("کمپرسور",H115)),"خرابی - کمپرسور (تعویض)",IF(ISNUMBER(SEARCH("کمک فنر",H115)),"خرابی - کمک فنر (تعویض)",IF(ISNUMBER(SEARCH("لولا",H115)),"مکانیزم درب - لولا (تعویض)",IF(OR(ISNUMBER(SEARCH("قلاب",H115)),ISNUMBER(SEARCH("ميکروسوئيچ",H115)),ISNUMBER(SEARCH("میکروسوئیچ",H115))),"مکانیزم درب - میکروسوئیچ/قلاب (تعویض/تنظیم)",IF(ISNUMBER(SEARCH("زبانه",H115)),"مکانیزم درب - زبانه (تعویض)",IF(OR(ISNUMBER(SEARCH("شيلنگ",H115)),ISNUMBER(SEARCH("شیلنگ",H115))),IF(OR(ISNUMBER(SEARCH("نشتی",H115)),ISNUMBER(SEARCH("نشتي",H115))),"نشتی - شیلنگ (تعمیر/آب‌بندی)",IF(OR(ISNUMBER(SEARCH("يخ",H115)),ISNUMBER(SEARCH("یخ",H115))),"شیلنگ یخساز - یخ‌زدگی (بازبینی)","شیلنگ - برخورد/لهیدگی (بازبینی)")),IF(OR(ISNUMBER(SEARCH("تنظيم ديسپل",H115)),ISNUMBER(SEARCH("تنظیم دیسپل",H115)),ISNUMBER(SEARCH("تنظيم صفحه نمايش",H115)),ISNUMBER(SEARCH("تنظیم صفحه نمایش",H115))),"تنظیم - تنظیمات دستگاه/دیسپلی (تعمیر)",IF(OR(ISNUMBER(SEARCH("برد",H115)),ISNUMBER(SEARCH("سوکت",H115)),ISNUMBER(SEARCH("ديسپل",H115)),ISNUMBER(SEARCH("دیسپل",H115))),"خرابی - برد الکترونیک (تعویض)",IF(OR(ISNUMBER(SEARCH("يخساز",H115)),ISNUMBER(SEARCH("یخساز",H115)),ISNUMBER(SEARCH("دمپر",H115))),IF(OR(ISNUMBER(SEARCH("خرابی",H115)),ISNUMBER(SEARCH("خراب",H115)),ISNUMBER(SEARCH("عدم کارکرد",H115)),ISNUMBER(SEARCH("عدم عملکرد",H115))),"یخساز - خرابی موتور/سنسور/برد (تعویض)","یخساز - تنظیم/عایق (تعمیر)"),IF(OR(ISNUMBER(SEARCH("لاستيک",H115)),ISNUMBER(SEARCH("لاستیک",H115))),"لاستیک درزگیر - دفرمگی/پارگی (تعویض)",IF(OR(ISNUMBER(SEARCH("گسکت",H115)),ISNUMBER(SEARCH("گسگت",H115))),"لاستیک درزگیر - دفرمگی/پارگی (تعویض)",IF(ISNUMBER(SEARCH("مخزن نمک",H115)),"نشتی - درب مخزن نمک (تعمیر/آب‌بندی)",IF(ISNUMBER(SEARCH("براکت",H115)),"نشتی - براکت ریل (تعمیر/آب‌بندی)",IF(ISNUMBER(SEARCH("جاپودر",H115)),"نشتی - جاپودری (تعمیر/آب‌بندی)",IF(ISNUMBER(SEARCH("مقسم",H115)),"نشتی - مقسم آب (تعمیر/آب‌بندی)",IF(OR(ISNUMBER(SEARCH("سنسور دما",H115)),ISNUMBER(SEARCH("ترموستات",H115))),"خرابی - ترموستات (تعویض)",IF(OR(ISNUMBER(SEARCH("هيدروستات",H115)),ISNUMBER(SEARCH("هیدروستات",H115))),"خرابی - هیدروستات (تعویض)",IF(OR(ISNUMBER(SEARCH("بلبرينگ",H115)),ISNUMBER(SEARCH("بلبرینگ",H115))),"خرابی - بلبرینگ (تعویض)",IF(OR(ISNUMBER(SEARCH("شيربرق",H115)),ISNUMBER(SEARCH("شیربرق",H115))),"خرابی - شیربرقی (تعویض)",IF(OR(ISNUMBER(SEARCH("واتر جت",H115)),ISNUMBER(SEARCH("واترجت",H115))),"خرابی - واترجت (تعویض)",IF(OR(ISNUMBER(SEARCH("سيم",H115)),ISNUMBER(SEARCH("سیم",H115)),ISNUMBER(SEARCH("اتصال",H115))),"سیم‌کشی/اتصالات (تعویض/بازبینی)",IF(OR(ISNUMBER(SEARCH("تصوير",H115)),ISNUMBER(SEARCH("تصویر",H115))),"برد نمایش تلویزیون (تعویض)",IF(OR(ISNUMBER(SEARCH("ريموت",H115)),ISNUMBER(SEARCH("ریموت",H115))),"ریموت کنترل (تعویض/تعمیر)",IF(OR(ISNUMBER(SEARCH("ال اي دي",H115)),ISNUMBER(SEARCH("ال ای دی",H115)),ISNUMBER(SEARCH("LED",H115))),"خرابی - لامپ/LED داخلی (تعویض)",IF(ISNUMBER(SEARCH("زنگ زدگ",H115)),"زنگ‌زدگی بدنه/قطعه (تعویض)",IF(OR(ISNUMBER(SEARCH("قطعات تزئين",H115)),ISNUMBER(SEARCH("قطعات تزئین",H115))),"قطعات تزئینی - شکستگی/کسری (تعویض)",IF(ISNUMBER(SEARCH("سبد",H115)),"سبد ظرفشویی - شکستگی (تعویض)",IF(ISNUMBER(SEARCH("تاب درام",H115)),"خرابی - تاب برداشتن درام (تعویض)",IF(ISNUMBER(SEARCH("درام",H115)),"خرابی - سایر ایراد درام (تعویض)",IF(ISNUMBER(SEARCH("موتور",H115)),"خرابی - موتور (تعویض)",IF(ISNUMBER(SEARCH("تسمه",H115)),"خرابی - تسمه (تعویض)",IF(OR(ISNUMBER(SEARCH("پيچ ولوم",H115)),ISNUMBER(SEARCH("پیچ ولوم",H115))),"تنظیم - پیچ ولوم/دکمه (تعمیر)",IF(OR(ISNUMBER(SEARCH("کسري قطعات",H115)),ISNUMBER(SEARCH("کسری قطعات",H115))),"کسری قطعات تزئینی (تعویض)",IF(ISNUMBER(SEARCH("پرچ",H115)),"پرچ/بدنه کابین(تعمیر)",IF(OR(ISNUMBER(SEARCH("نشت",H115)),ISNUMBER(SEARCH("آبريزش",H115)),ISNUMBER(SEARCH("آبریزش",H115))),"نشتی آب - محل نامشخص (نیازمند بازدید)",IF(ISNUMBER(SEARCH("درب",H115)),"سایر اجزای درب (بازبینی)",IF(ISNUMBER(SEARCH("ضربه",H115)),"بدنه/کابین - ضربه (بازبینی/تعویض پنل)",IF(ISNUMBER(SEARCH("تراز",H115)),"تراز/لرزش - نصب (رگلاژ پایه)",IF(OR(ISNUMBER(SEARCH("تعویض",H115)),ISNUMBER(SEARCH("تعويض",H115))),"تعویض کامل دستگاه (Replacement)","سایر (نیازمند بررسی دستی)")))))))))))))))))))))))))))))))))))))))))))</f>
        <v>خرابی - برد الکترونیک (تعویض)</v>
      </c>
      <c r="N115" s="2" t="s">
        <v>2016</v>
      </c>
      <c r="O115" s="2" t="str" cm="1">
        <f t="array" ref="O115">IF(A115="","",IF(SUMPRODUCT(($B$2:$B$965=B115)*($C$2:$C$965=C115)*($D$2:$D$965=D115)*($E$2:$E$965=E115)*($F$2:$F$965=F115)*($G$2:$G$965=G115)*($H$2:$H$965=H115)*($I$2:$I$965=I115)*($J$2:$J$965=J115)*($K$2:$K$965=K115)*($N$2:$N$965=N115))=1,"خیر",IF(SUMPRODUCT(($B$2:B115=B115)*($C$2:C115=C115)*($D$2:D115=D115)*($E$2:E115=E115)*($F$2:F115=F115)*($G$2:G115=G115)*($H$2:H115=H115)*($I$2:I115=I115)*($J$2:J115=J115)*($K$2:K115=K115)*($N$2:N115=N115))=1,"بله-1","بله")))</f>
        <v>خیر</v>
      </c>
      <c r="P115" s="5" t="str" cm="1">
        <f t="array" ref="P115">IF(A115="","",IF(SUMPRODUCT(($F$2:$F$969=F115)*($I$2:$I$969=I115))=1,"خیر",IF(SUMPRODUCT(($F$2:F115=F115)*($I$2:I115=I115))=1,"بله-1","بله")))</f>
        <v>خیر</v>
      </c>
    </row>
    <row r="116" spans="1:16" ht="18.75" x14ac:dyDescent="0.25">
      <c r="A116" s="2" t="s">
        <v>129</v>
      </c>
      <c r="B116" s="2" t="s">
        <v>16</v>
      </c>
      <c r="C116" s="2" t="s">
        <v>17</v>
      </c>
      <c r="D116" s="2" t="s">
        <v>122</v>
      </c>
      <c r="E116" s="2" t="s">
        <v>123</v>
      </c>
      <c r="F116" s="2" t="s">
        <v>130</v>
      </c>
      <c r="G116" s="2" t="s">
        <v>125</v>
      </c>
      <c r="H116" s="2" t="s">
        <v>126</v>
      </c>
      <c r="I116" s="2" t="s">
        <v>47</v>
      </c>
      <c r="J116" s="2" t="s">
        <v>131</v>
      </c>
      <c r="K116" s="2" t="s">
        <v>132</v>
      </c>
      <c r="L116" s="3">
        <f>IF(OR(TRIM(I116)="",TRIM(K116)=""),"",IFERROR((VALUE(LEFT(TRIM(I116),4))-VALUE(LEFT(TRIM(K116),4)))*12+VALUE(MID(TRIM(I116),6,2))-VALUE(MID(TRIM(K116),6,2)),""))</f>
        <v>7</v>
      </c>
      <c r="M116" s="2" t="str">
        <f>IF(TRIM(H116)="","",IFERROR(LOOKUP(2,1/(ISNUMBER(SEARCH('منطق دسته‌بندی'!$A$2:$A$187,H116))),'منطق دسته‌بندی'!$B$2:$B$187),"سایر (نیازمند بررسی دستی)"))</f>
        <v>غیرگارانتی/بدون قطعه</v>
      </c>
      <c r="N116" s="2" t="s">
        <v>24</v>
      </c>
      <c r="O116" s="2" t="str" cm="1">
        <f t="array" ref="O116">IF(A116="","",IF(SUMPRODUCT(($B$2:$B$965=B116)*($C$2:$C$965=C116)*($D$2:$D$965=D116)*($E$2:$E$965=E116)*($F$2:$F$965=F116)*($G$2:$G$965=G116)*($H$2:$H$965=H116)*($I$2:$I$965=I116)*($J$2:$J$965=J116)*($K$2:$K$965=K116)*($N$2:$N$965=N116))=1,"خیر",IF(SUMPRODUCT(($B$2:B116=B116)*($C$2:C116=C116)*($D$2:D116=D116)*($E$2:E116=E116)*($F$2:F116=F116)*($G$2:G116=G116)*($H$2:H116=H116)*($I$2:I116=I116)*($J$2:J116=J116)*($K$2:K116=K116)*($N$2:N116=N116))=1,"بله-1","بله")))</f>
        <v>خیر</v>
      </c>
      <c r="P116" s="5" t="str" cm="1">
        <f t="array" ref="P116">IF(A116="","",IF(SUMPRODUCT(($F$2:$F$969=F116)*($I$2:$I$969=I116))=1,"خیر",IF(SUMPRODUCT(($F$2:F116=F116)*($I$2:I116=I116))=1,"بله-1","بله")))</f>
        <v>خیر</v>
      </c>
    </row>
    <row r="117" spans="1:16" ht="18.75" x14ac:dyDescent="0.25">
      <c r="A117" s="2" t="s">
        <v>1022</v>
      </c>
      <c r="B117" s="2" t="s">
        <v>1015</v>
      </c>
      <c r="C117" s="2" t="s">
        <v>1016</v>
      </c>
      <c r="D117" s="2" t="s">
        <v>122</v>
      </c>
      <c r="E117" s="2" t="s">
        <v>123</v>
      </c>
      <c r="F117" s="2" t="s">
        <v>1023</v>
      </c>
      <c r="G117" s="2" t="s">
        <v>1024</v>
      </c>
      <c r="H117" s="2" t="s">
        <v>1025</v>
      </c>
      <c r="I117" s="2" t="s">
        <v>1026</v>
      </c>
      <c r="J117" s="2" t="s">
        <v>1027</v>
      </c>
      <c r="K117" s="2" t="s">
        <v>1028</v>
      </c>
      <c r="L117" s="3">
        <f>IF(OR(TRIM(I117)="",TRIM(K117)=""),"",IFERROR((VALUE(LEFT(TRIM(I117),4))-VALUE(LEFT(TRIM(K117),4)))*12+VALUE(MID(TRIM(I117),6,2))-VALUE(MID(TRIM(K117),6,2)),""))</f>
        <v>18</v>
      </c>
      <c r="M117" s="2" t="str">
        <f>IF(TRIM(H117)="","",IFERROR(LOOKUP(2,1/(ISNUMBER(SEARCH('منطق دسته‌بندی'!$A$2:$A$187,H117))),'منطق دسته‌بندی'!$B$2:$B$187),"سایر (نیازمند بررسی دستی)"))</f>
        <v>خرابی - شیربرقی (تعویض)</v>
      </c>
      <c r="N117" s="2" t="s">
        <v>1029</v>
      </c>
      <c r="O117" s="2" t="str" cm="1">
        <f t="array" ref="O117">IF(A117="","",IF(SUMPRODUCT(($B$2:$B$965=B117)*($C$2:$C$965=C117)*($D$2:$D$965=D117)*($E$2:$E$965=E117)*($F$2:$F$965=F117)*($G$2:$G$965=G117)*($H$2:$H$965=H117)*($I$2:$I$965=I117)*($J$2:$J$965=J117)*($K$2:$K$965=K117)*($N$2:$N$965=N117))=1,"خیر",IF(SUMPRODUCT(($B$2:B117=B117)*($C$2:C117=C117)*($D$2:D117=D117)*($E$2:E117=E117)*($F$2:F117=F117)*($G$2:G117=G117)*($H$2:H117=H117)*($I$2:I117=I117)*($J$2:J117=J117)*($K$2:K117=K117)*($N$2:N117=N117))=1,"بله-1","بله")))</f>
        <v>خیر</v>
      </c>
      <c r="P117" s="5" t="str" cm="1">
        <f t="array" ref="P117">IF(A117="","",IF(SUMPRODUCT(($F$2:$F$969=F117)*($I$2:$I$969=I117))=1,"خیر",IF(SUMPRODUCT(($F$2:F117=F117)*($I$2:I117=I117))=1,"بله-1","بله")))</f>
        <v>خیر</v>
      </c>
    </row>
    <row r="118" spans="1:16" ht="18.75" x14ac:dyDescent="0.25">
      <c r="A118" s="2" t="s">
        <v>1198</v>
      </c>
      <c r="B118" s="2" t="s">
        <v>1040</v>
      </c>
      <c r="C118" s="2" t="s">
        <v>1041</v>
      </c>
      <c r="D118" s="2" t="s">
        <v>122</v>
      </c>
      <c r="E118" s="15" t="s">
        <v>123</v>
      </c>
      <c r="F118" s="2" t="s">
        <v>1199</v>
      </c>
      <c r="G118" s="2" t="s">
        <v>589</v>
      </c>
      <c r="H118" s="2" t="s">
        <v>1200</v>
      </c>
      <c r="I118" s="2" t="s">
        <v>1185</v>
      </c>
      <c r="J118" s="2" t="s">
        <v>987</v>
      </c>
      <c r="K118" s="2" t="s">
        <v>813</v>
      </c>
      <c r="L118" s="3">
        <f>IF(OR(TRIM(I118)="",TRIM(K118)=""),"",IFERROR((VALUE(LEFT(TRIM(I118),4))-VALUE(LEFT(TRIM(K118),4)))*12+VALUE(MID(TRIM(I118),6,2))-VALUE(MID(TRIM(K118),6,2)),""))</f>
        <v>8</v>
      </c>
      <c r="M118" s="2" t="str">
        <f>IF(TRIM(H118)="","",IFERROR(LOOKUP(2,1/(ISNUMBER(SEARCH('منطق دسته‌بندی'!$A$2:$A$187,H118))),'منطق دسته‌بندی'!$B$2:$B$187),"سایر (نیازمند بررسی دستی)"))</f>
        <v>شیلنگ - برخورد/لهیدگی (بازبینی)</v>
      </c>
      <c r="N118" s="2" t="s">
        <v>24</v>
      </c>
      <c r="O118" s="2" t="str" cm="1">
        <f t="array" ref="O118">IF(A118="","",IF(SUMPRODUCT(($B$2:$B$965=B118)*($C$2:$C$965=C118)*($D$2:$D$965=D118)*($E$2:$E$965=E118)*($F$2:$F$965=F118)*($G$2:$G$965=G118)*($H$2:$H$965=H118)*($I$2:$I$965=I118)*($J$2:$J$965=J118)*($K$2:$K$965=K118)*($N$2:$N$965=N118))=1,"خیر",IF(SUMPRODUCT(($B$2:B118=B118)*($C$2:C118=C118)*($D$2:D118=D118)*($E$2:E118=E118)*($F$2:F118=F118)*($G$2:G118=G118)*($H$2:H118=H118)*($I$2:I118=I118)*($J$2:J118=J118)*($K$2:K118=K118)*($N$2:N118=N118))=1,"بله-1","بله")))</f>
        <v>خیر</v>
      </c>
      <c r="P118" s="5" t="str" cm="1">
        <f t="array" ref="P118">IF(A118="","",IF(SUMPRODUCT(($F$2:$F$969=F118)*($I$2:$I$969=I118))=1,"خیر",IF(SUMPRODUCT(($F$2:F118=F118)*($I$2:I118=I118))=1,"بله-1","بله")))</f>
        <v>خیر</v>
      </c>
    </row>
    <row r="119" spans="1:16" ht="37.5" x14ac:dyDescent="0.25">
      <c r="A119" s="2" t="s">
        <v>1189</v>
      </c>
      <c r="B119" s="2" t="s">
        <v>1040</v>
      </c>
      <c r="C119" s="2" t="s">
        <v>1041</v>
      </c>
      <c r="D119" s="2" t="s">
        <v>122</v>
      </c>
      <c r="E119" s="2" t="s">
        <v>123</v>
      </c>
      <c r="F119" s="2" t="s">
        <v>1190</v>
      </c>
      <c r="G119" s="2" t="s">
        <v>1191</v>
      </c>
      <c r="H119" s="2" t="s">
        <v>1192</v>
      </c>
      <c r="I119" s="2" t="s">
        <v>1185</v>
      </c>
      <c r="J119" s="2" t="s">
        <v>1193</v>
      </c>
      <c r="K119" s="2" t="s">
        <v>1194</v>
      </c>
      <c r="L119" s="3">
        <f>IF(OR(TRIM(I119)="",TRIM(K119)=""),"",IFERROR((VALUE(LEFT(TRIM(I119),4))-VALUE(LEFT(TRIM(K119),4)))*12+VALUE(MID(TRIM(I119),6,2))-VALUE(MID(TRIM(K119),6,2)),""))</f>
        <v>19</v>
      </c>
      <c r="M119" s="2" t="str">
        <f>IF(TRIM(H119)="","",IFERROR(LOOKUP(2,1/(ISNUMBER(SEARCH('منطق دسته‌بندی'!$A$2:$A$187,H119))),'منطق دسته‌بندی'!$B$2:$B$187),"سایر (نیازمند بررسی دستی)"))</f>
        <v>قطعات تزئینی - شکستگی/کسری (تعویض)</v>
      </c>
      <c r="N119" s="2" t="s">
        <v>24</v>
      </c>
      <c r="O119" s="2" t="str" cm="1">
        <f t="array" ref="O119">IF(A119="","",IF(SUMPRODUCT(($B$2:$B$965=B119)*($C$2:$C$965=C119)*($D$2:$D$965=D119)*($E$2:$E$965=E119)*($F$2:$F$965=F119)*($G$2:$G$965=G119)*($H$2:$H$965=H119)*($I$2:$I$965=I119)*($J$2:$J$965=J119)*($K$2:$K$965=K119)*($N$2:$N$965=N119))=1,"خیر",IF(SUMPRODUCT(($B$2:B119=B119)*($C$2:C119=C119)*($D$2:D119=D119)*($E$2:E119=E119)*($F$2:F119=F119)*($G$2:G119=G119)*($H$2:H119=H119)*($I$2:I119=I119)*($J$2:J119=J119)*($K$2:K119=K119)*($N$2:N119=N119))=1,"بله-1","بله")))</f>
        <v>خیر</v>
      </c>
      <c r="P119" s="5" t="str" cm="1">
        <f t="array" ref="P119">IF(A119="","",IF(SUMPRODUCT(($F$2:$F$969=F119)*($I$2:$I$969=I119))=1,"خیر",IF(SUMPRODUCT(($F$2:F119=F119)*($I$2:I119=I119))=1,"بله-1","بله")))</f>
        <v>خیر</v>
      </c>
    </row>
    <row r="120" spans="1:16" ht="18.75" x14ac:dyDescent="0.25">
      <c r="A120" s="2" t="s">
        <v>1209</v>
      </c>
      <c r="B120" s="2" t="s">
        <v>1040</v>
      </c>
      <c r="C120" s="2" t="s">
        <v>1041</v>
      </c>
      <c r="D120" s="2" t="s">
        <v>122</v>
      </c>
      <c r="E120" s="2" t="s">
        <v>123</v>
      </c>
      <c r="F120" s="2" t="s">
        <v>1210</v>
      </c>
      <c r="G120" s="2" t="s">
        <v>1211</v>
      </c>
      <c r="H120" s="2" t="s">
        <v>126</v>
      </c>
      <c r="I120" s="2" t="s">
        <v>1185</v>
      </c>
      <c r="J120" s="2" t="s">
        <v>1004</v>
      </c>
      <c r="K120" s="2" t="s">
        <v>783</v>
      </c>
      <c r="L120" s="3">
        <f>IF(OR(TRIM(I120)="",TRIM(K120)=""),"",IFERROR((VALUE(LEFT(TRIM(I120),4))-VALUE(LEFT(TRIM(K120),4)))*12+VALUE(MID(TRIM(I120),6,2))-VALUE(MID(TRIM(K120),6,2)),""))</f>
        <v>18</v>
      </c>
      <c r="M120" s="2" t="str">
        <f>IF(TRIM(H120)="","",IFERROR(LOOKUP(2,1/(ISNUMBER(SEARCH('منطق دسته‌بندی'!$A$2:$A$187,H120))),'منطق دسته‌بندی'!$B$2:$B$187),"سایر (نیازمند بررسی دستی)"))</f>
        <v>غیرگارانتی/بدون قطعه</v>
      </c>
      <c r="N120" s="2" t="s">
        <v>24</v>
      </c>
      <c r="O120" s="2" t="str" cm="1">
        <f t="array" ref="O120">IF(A120="","",IF(SUMPRODUCT(($B$2:$B$965=B120)*($C$2:$C$965=C120)*($D$2:$D$965=D120)*($E$2:$E$965=E120)*($F$2:$F$965=F120)*($G$2:$G$965=G120)*($H$2:$H$965=H120)*($I$2:$I$965=I120)*($J$2:$J$965=J120)*($K$2:$K$965=K120)*($N$2:$N$965=N120))=1,"خیر",IF(SUMPRODUCT(($B$2:B120=B120)*($C$2:C120=C120)*($D$2:D120=D120)*($E$2:E120=E120)*($F$2:F120=F120)*($G$2:G120=G120)*($H$2:H120=H120)*($I$2:I120=I120)*($J$2:J120=J120)*($K$2:K120=K120)*($N$2:N120=N120))=1,"بله-1","بله")))</f>
        <v>خیر</v>
      </c>
      <c r="P120" s="5" t="str" cm="1">
        <f t="array" ref="P120">IF(A120="","",IF(SUMPRODUCT(($F$2:$F$969=F120)*($I$2:$I$969=I120))=1,"خیر",IF(SUMPRODUCT(($F$2:F120=F120)*($I$2:I120=I120))=1,"بله-1","بله")))</f>
        <v>خیر</v>
      </c>
    </row>
    <row r="121" spans="1:16" ht="18.75" x14ac:dyDescent="0.25">
      <c r="A121" s="2">
        <v>810005154</v>
      </c>
      <c r="B121" s="2" t="s">
        <v>1040</v>
      </c>
      <c r="C121" s="2" t="s">
        <v>1041</v>
      </c>
      <c r="D121" s="2" t="s">
        <v>122</v>
      </c>
      <c r="E121" s="2" t="s">
        <v>123</v>
      </c>
      <c r="F121" s="2" t="s">
        <v>1210</v>
      </c>
      <c r="G121" s="2" t="s">
        <v>1403</v>
      </c>
      <c r="H121" s="2" t="s">
        <v>1404</v>
      </c>
      <c r="I121" s="2" t="s">
        <v>1405</v>
      </c>
      <c r="J121" s="2" t="s">
        <v>1004</v>
      </c>
      <c r="K121" s="2" t="s">
        <v>783</v>
      </c>
      <c r="L121" s="3">
        <f>IF(OR(TRIM(I121)="",TRIM(K121)=""),"",IFERROR((VALUE(LEFT(TRIM(I121),4))-VALUE(LEFT(TRIM(K121),4)))*12+VALUE(MID(TRIM(I121),6,2))-VALUE(MID(TRIM(K121),6,2)),""))</f>
        <v>18</v>
      </c>
      <c r="M121" s="2" t="str">
        <f>IF(TRIM(H121)="","",IFERROR(LOOKUP(2,1/(ISNUMBER(SEARCH('منطق دسته‌بندی'!$A$2:$A$187,H121))),'منطق دسته‌بندی'!$B$2:$B$187),"سایر (نیازمند بررسی دستی)"))</f>
        <v>وان/کابین - ترک (نیازمند تعویض/بررسی)</v>
      </c>
      <c r="N121" s="2" t="s">
        <v>1406</v>
      </c>
      <c r="O121" s="2" t="str" cm="1">
        <f t="array" ref="O121">IF(A121="","",IF(SUMPRODUCT(($B$2:$B$965=B121)*($C$2:$C$965=C121)*($D$2:$D$965=D121)*($E$2:$E$965=E121)*($F$2:$F$965=F121)*($G$2:$G$965=G121)*($H$2:$H$965=H121)*($I$2:$I$965=I121)*($J$2:$J$965=J121)*($K$2:$K$965=K121)*($N$2:$N$965=N121))=1,"خیر",IF(SUMPRODUCT(($B$2:B121=B121)*($C$2:C121=C121)*($D$2:D121=D121)*($E$2:E121=E121)*($F$2:F121=F121)*($G$2:G121=G121)*($H$2:H121=H121)*($I$2:I121=I121)*($J$2:J121=J121)*($K$2:K121=K121)*($N$2:N121=N121))=1,"بله-1","بله")))</f>
        <v>خیر</v>
      </c>
      <c r="P121" s="5" t="str" cm="1">
        <f t="array" ref="P121">IF(A121="","",IF(SUMPRODUCT(($F$2:$F$969=F121)*($I$2:$I$969=I121))=1,"خیر",IF(SUMPRODUCT(($F$2:F121=F121)*($I$2:I121=I121))=1,"بله-1","بله")))</f>
        <v>خیر</v>
      </c>
    </row>
    <row r="122" spans="1:16" ht="37.5" x14ac:dyDescent="0.25">
      <c r="A122" s="2" t="s">
        <v>990</v>
      </c>
      <c r="B122" s="2" t="s">
        <v>881</v>
      </c>
      <c r="C122" s="2" t="s">
        <v>882</v>
      </c>
      <c r="D122" s="2" t="s">
        <v>122</v>
      </c>
      <c r="E122" s="2" t="s">
        <v>123</v>
      </c>
      <c r="F122" s="2" t="s">
        <v>991</v>
      </c>
      <c r="G122" s="2" t="s">
        <v>992</v>
      </c>
      <c r="H122" s="2" t="s">
        <v>993</v>
      </c>
      <c r="I122" s="2" t="s">
        <v>994</v>
      </c>
      <c r="J122" s="2" t="s">
        <v>995</v>
      </c>
      <c r="K122" s="2" t="s">
        <v>418</v>
      </c>
      <c r="L122" s="3">
        <f>IF(OR(TRIM(I122)="",TRIM(K122)=""),"",IFERROR((VALUE(LEFT(TRIM(I122),4))-VALUE(LEFT(TRIM(K122),4)))*12+VALUE(MID(TRIM(I122),6,2))-VALUE(MID(TRIM(K122),6,2)),""))</f>
        <v>17</v>
      </c>
      <c r="M122" s="2" t="str">
        <f>IF(TRIM(H122)="","",IFERROR(LOOKUP(2,1/(ISNUMBER(SEARCH('منطق دسته‌بندی'!$A$2:$A$187,H122))),'منطق دسته‌بندی'!$B$2:$B$187),"سایر (نیازمند بررسی دستی)"))</f>
        <v>خرابی - برد الکترونیک (تعویض)</v>
      </c>
      <c r="N122" s="2" t="s">
        <v>268</v>
      </c>
      <c r="O122" s="2" t="str" cm="1">
        <f t="array" ref="O122">IF(A122="","",IF(SUMPRODUCT(($B$2:$B$965=B122)*($C$2:$C$965=C122)*($D$2:$D$965=D122)*($E$2:$E$965=E122)*($F$2:$F$965=F122)*($G$2:$G$965=G122)*($H$2:$H$965=H122)*($I$2:$I$965=I122)*($J$2:$J$965=J122)*($K$2:$K$965=K122)*($N$2:$N$965=N122))=1,"خیر",IF(SUMPRODUCT(($B$2:B122=B122)*($C$2:C122=C122)*($D$2:D122=D122)*($E$2:E122=E122)*($F$2:F122=F122)*($G$2:G122=G122)*($H$2:H122=H122)*($I$2:I122=I122)*($J$2:J122=J122)*($K$2:K122=K122)*($N$2:N122=N122))=1,"بله-1","بله")))</f>
        <v>خیر</v>
      </c>
      <c r="P122" s="5" t="str" cm="1">
        <f t="array" ref="P122">IF(A122="","",IF(SUMPRODUCT(($F$2:$F$969=F122)*($I$2:$I$969=I122))=1,"خیر",IF(SUMPRODUCT(($F$2:F122=F122)*($I$2:I122=I122))=1,"بله-1","بله")))</f>
        <v>خیر</v>
      </c>
    </row>
    <row r="123" spans="1:16" ht="37.5" x14ac:dyDescent="0.25">
      <c r="A123" s="2">
        <v>210026402</v>
      </c>
      <c r="B123" s="2" t="s">
        <v>1950</v>
      </c>
      <c r="C123" s="2" t="s">
        <v>1951</v>
      </c>
      <c r="D123" s="2" t="s">
        <v>2018</v>
      </c>
      <c r="E123" s="2" t="s">
        <v>123</v>
      </c>
      <c r="F123" s="2" t="s">
        <v>991</v>
      </c>
      <c r="G123" s="2" t="s">
        <v>1977</v>
      </c>
      <c r="H123" s="2" t="s">
        <v>1987</v>
      </c>
      <c r="I123" s="2" t="s">
        <v>1998</v>
      </c>
      <c r="J123" s="2" t="s">
        <v>995</v>
      </c>
      <c r="K123" s="2" t="s">
        <v>418</v>
      </c>
      <c r="L123" s="3">
        <f>IF(OR(TRIM(I123)="",TRIM(K123)=""),"",IFERROR((VALUE(LEFT(TRIM(I123),4))-VALUE(LEFT(TRIM(K123),4)))*12+VALUE(MID(TRIM(I123),6,2))-VALUE(MID(TRIM(K123),6,2)),""))</f>
        <v>20</v>
      </c>
      <c r="M123" s="2" t="str">
        <f>IF(OR(ISNUMBER(SEARCH("بدون مورد",H123)),ISNUMBER(SEARCH("غير گارانتي",H123)),ISNUMBER(SEARCH("غیر گارانتی",H123)),ISNUMBER(SEARCH("بدون اجرت",H123)),ISNUMBER(SEARCH("فيلتر",H123)),ISNUMBER(SEARCH("فیلتر",H123))),"غیرگارانتی/بدون قطعه",IF(OR(ISNUMBER(SEARCH("ريست",H123)),ISNUMBER(SEARCH("ریست",H123))),"ریست نرم‌افزاری (بدون قطعه)",IF(OR(ISNUMBER(SEARCH("تعویض محصول",H123)),ISNUMBER(SEARCH("تعویض دستگاه",H123))),"تعویض کامل دستگاه (Replacement)",IF(ISNUMBER(SEARCH("پمپ",H123)),IF(ISNUMBER(SEARCH("نشت",H123)),"نشتی - پمپ تخلیه (تعمیر/آب‌بندی)","خرابی - پمپ تخلیه (تعویض)"),IF(ISNUMBER(SEARCH("کمپرسور",H123)),"خرابی - کمپرسور (تعویض)",IF(ISNUMBER(SEARCH("کمک فنر",H123)),"خرابی - کمک فنر (تعویض)",IF(ISNUMBER(SEARCH("لولا",H123)),"مکانیزم درب - لولا (تعویض)",IF(OR(ISNUMBER(SEARCH("قلاب",H123)),ISNUMBER(SEARCH("ميکروسوئيچ",H123)),ISNUMBER(SEARCH("میکروسوئیچ",H123))),"مکانیزم درب - میکروسوئیچ/قلاب (تعویض/تنظیم)",IF(ISNUMBER(SEARCH("زبانه",H123)),"مکانیزم درب - زبانه (تعویض)",IF(OR(ISNUMBER(SEARCH("شيلنگ",H123)),ISNUMBER(SEARCH("شیلنگ",H123))),IF(OR(ISNUMBER(SEARCH("نشتی",H123)),ISNUMBER(SEARCH("نشتي",H123))),"نشتی - شیلنگ (تعمیر/آب‌بندی)",IF(OR(ISNUMBER(SEARCH("يخ",H123)),ISNUMBER(SEARCH("یخ",H123))),"شیلنگ یخساز - یخ‌زدگی (بازبینی)","شیلنگ - برخورد/لهیدگی (بازبینی)")),IF(OR(ISNUMBER(SEARCH("تنظيم ديسپل",H123)),ISNUMBER(SEARCH("تنظیم دیسپل",H123)),ISNUMBER(SEARCH("تنظيم صفحه نمايش",H123)),ISNUMBER(SEARCH("تنظیم صفحه نمایش",H123))),"تنظیم - تنظیمات دستگاه/دیسپلی (تعمیر)",IF(OR(ISNUMBER(SEARCH("برد",H123)),ISNUMBER(SEARCH("سوکت",H123)),ISNUMBER(SEARCH("ديسپل",H123)),ISNUMBER(SEARCH("دیسپل",H123))),"خرابی - برد الکترونیک (تعویض)",IF(OR(ISNUMBER(SEARCH("يخساز",H123)),ISNUMBER(SEARCH("یخساز",H123)),ISNUMBER(SEARCH("دمپر",H123))),IF(OR(ISNUMBER(SEARCH("خرابی",H123)),ISNUMBER(SEARCH("خراب",H123)),ISNUMBER(SEARCH("عدم کارکرد",H123)),ISNUMBER(SEARCH("عدم عملکرد",H123))),"یخساز - خرابی موتور/سنسور/برد (تعویض)","یخساز - تنظیم/عایق (تعمیر)"),IF(OR(ISNUMBER(SEARCH("لاستيک",H123)),ISNUMBER(SEARCH("لاستیک",H123))),"لاستیک درزگیر - دفرمگی/پارگی (تعویض)",IF(OR(ISNUMBER(SEARCH("گسکت",H123)),ISNUMBER(SEARCH("گسگت",H123))),"لاستیک درزگیر - دفرمگی/پارگی (تعویض)",IF(ISNUMBER(SEARCH("مخزن نمک",H123)),"نشتی - درب مخزن نمک (تعمیر/آب‌بندی)",IF(ISNUMBER(SEARCH("براکت",H123)),"نشتی - براکت ریل (تعمیر/آب‌بندی)",IF(ISNUMBER(SEARCH("جاپودر",H123)),"نشتی - جاپودری (تعمیر/آب‌بندی)",IF(ISNUMBER(SEARCH("مقسم",H123)),"نشتی - مقسم آب (تعمیر/آب‌بندی)",IF(OR(ISNUMBER(SEARCH("سنسور دما",H123)),ISNUMBER(SEARCH("ترموستات",H123))),"خرابی - ترموستات (تعویض)",IF(OR(ISNUMBER(SEARCH("هيدروستات",H123)),ISNUMBER(SEARCH("هیدروستات",H123))),"خرابی - هیدروستات (تعویض)",IF(OR(ISNUMBER(SEARCH("بلبرينگ",H123)),ISNUMBER(SEARCH("بلبرینگ",H123))),"خرابی - بلبرینگ (تعویض)",IF(OR(ISNUMBER(SEARCH("شيربرق",H123)),ISNUMBER(SEARCH("شیربرق",H123))),"خرابی - شیربرقی (تعویض)",IF(OR(ISNUMBER(SEARCH("واتر جت",H123)),ISNUMBER(SEARCH("واترجت",H123))),"خرابی - واترجت (تعویض)",IF(OR(ISNUMBER(SEARCH("سيم",H123)),ISNUMBER(SEARCH("سیم",H123)),ISNUMBER(SEARCH("اتصال",H123))),"سیم‌کشی/اتصالات (تعویض/بازبینی)",IF(OR(ISNUMBER(SEARCH("تصوير",H123)),ISNUMBER(SEARCH("تصویر",H123))),"برد نمایش تلویزیون (تعویض)",IF(OR(ISNUMBER(SEARCH("ريموت",H123)),ISNUMBER(SEARCH("ریموت",H123))),"ریموت کنترل (تعویض/تعمیر)",IF(OR(ISNUMBER(SEARCH("ال اي دي",H123)),ISNUMBER(SEARCH("ال ای دی",H123)),ISNUMBER(SEARCH("LED",H123))),"خرابی - لامپ/LED داخلی (تعویض)",IF(ISNUMBER(SEARCH("زنگ زدگ",H123)),"زنگ‌زدگی بدنه/قطعه (تعویض)",IF(OR(ISNUMBER(SEARCH("قطعات تزئين",H123)),ISNUMBER(SEARCH("قطعات تزئین",H123))),"قطعات تزئینی - شکستگی/کسری (تعویض)",IF(ISNUMBER(SEARCH("سبد",H123)),"سبد ظرفشویی - شکستگی (تعویض)",IF(ISNUMBER(SEARCH("تاب درام",H123)),"خرابی - تاب برداشتن درام (تعویض)",IF(ISNUMBER(SEARCH("درام",H123)),"خرابی - سایر ایراد درام (تعویض)",IF(ISNUMBER(SEARCH("موتور",H123)),"خرابی - موتور (تعویض)",IF(ISNUMBER(SEARCH("تسمه",H123)),"خرابی - تسمه (تعویض)",IF(OR(ISNUMBER(SEARCH("پيچ ولوم",H123)),ISNUMBER(SEARCH("پیچ ولوم",H123))),"تنظیم - پیچ ولوم/دکمه (تعمیر)",IF(OR(ISNUMBER(SEARCH("کسري قطعات",H123)),ISNUMBER(SEARCH("کسری قطعات",H123))),"کسری قطعات تزئینی (تعویض)",IF(ISNUMBER(SEARCH("پرچ",H123)),"پرچ/بدنه کابین(تعمیر)",IF(OR(ISNUMBER(SEARCH("نشت",H123)),ISNUMBER(SEARCH("آبريزش",H123)),ISNUMBER(SEARCH("آبریزش",H123))),"نشتی آب - محل نامشخص (نیازمند بازدید)",IF(ISNUMBER(SEARCH("درب",H123)),"سایر اجزای درب (بازبینی)",IF(ISNUMBER(SEARCH("ضربه",H123)),"بدنه/کابین - ضربه (بازبینی/تعویض پنل)",IF(ISNUMBER(SEARCH("تراز",H123)),"تراز/لرزش - نصب (رگلاژ پایه)",IF(OR(ISNUMBER(SEARCH("تعویض",H123)),ISNUMBER(SEARCH("تعويض",H123))),"تعویض کامل دستگاه (Replacement)","سایر (نیازمند بررسی دستی)")))))))))))))))))))))))))))))))))))))))))))</f>
        <v>غیرگارانتی/بدون قطعه</v>
      </c>
      <c r="N123" s="2" t="s">
        <v>1381</v>
      </c>
      <c r="O123" s="2" t="str" cm="1">
        <f t="array" ref="O123">IF(A123="","",IF(SUMPRODUCT(($B$2:$B$965=B123)*($C$2:$C$965=C123)*($D$2:$D$965=D123)*($E$2:$E$965=E123)*($F$2:$F$965=F123)*($G$2:$G$965=G123)*($H$2:$H$965=H123)*($I$2:$I$965=I123)*($J$2:$J$965=J123)*($K$2:$K$965=K123)*($N$2:$N$965=N123))=1,"خیر",IF(SUMPRODUCT(($B$2:B123=B123)*($C$2:C123=C123)*($D$2:D123=D123)*($E$2:E123=E123)*($F$2:F123=F123)*($G$2:G123=G123)*($H$2:H123=H123)*($I$2:I123=I123)*($J$2:J123=J123)*($K$2:K123=K123)*($N$2:N123=N123))=1,"بله-1","بله")))</f>
        <v>خیر</v>
      </c>
      <c r="P123" s="5" t="str" cm="1">
        <f t="array" ref="P123">IF(A123="","",IF(SUMPRODUCT(($F$2:$F$969=F123)*($I$2:$I$969=I123))=1,"خیر",IF(SUMPRODUCT(($F$2:F123=F123)*($I$2:I123=I123))=1,"بله-1","بله")))</f>
        <v>خیر</v>
      </c>
    </row>
    <row r="124" spans="1:16" ht="37.5" x14ac:dyDescent="0.25">
      <c r="A124" s="2">
        <v>210024528</v>
      </c>
      <c r="B124" s="2" t="s">
        <v>1950</v>
      </c>
      <c r="C124" s="2" t="s">
        <v>1951</v>
      </c>
      <c r="D124" s="2" t="s">
        <v>122</v>
      </c>
      <c r="E124" s="2" t="s">
        <v>123</v>
      </c>
      <c r="F124" s="2" t="s">
        <v>1396</v>
      </c>
      <c r="G124" s="2" t="s">
        <v>1397</v>
      </c>
      <c r="H124" s="2" t="s">
        <v>1398</v>
      </c>
      <c r="I124" s="2" t="s">
        <v>1399</v>
      </c>
      <c r="J124" s="2" t="s">
        <v>1400</v>
      </c>
      <c r="K124" s="2" t="s">
        <v>1401</v>
      </c>
      <c r="L124" s="3">
        <f>IF(OR(TRIM(I124)="",TRIM(K124)=""),"",IFERROR((VALUE(LEFT(TRIM(I124),4))-VALUE(LEFT(TRIM(K124),4)))*12+VALUE(MID(TRIM(I124),6,2))-VALUE(MID(TRIM(K124),6,2)),""))</f>
        <v>11</v>
      </c>
      <c r="M124" s="2" t="str">
        <f>IF(TRIM(H124)="","",IFERROR(LOOKUP(2,1/(ISNUMBER(SEARCH('منطق دسته‌بندی'!$A$2:$A$187,H124))),'منطق دسته‌بندی'!$B$2:$B$187),"سایر (نیازمند بررسی دستی)"))</f>
        <v>یخساز - تنظیم/عایق (تعمیر)</v>
      </c>
      <c r="N124" s="2" t="s">
        <v>1402</v>
      </c>
      <c r="O124" s="2" t="str" cm="1">
        <f t="array" ref="O124">IF(A124="","",IF(SUMPRODUCT(($B$2:$B$965=B124)*($C$2:$C$965=C124)*($D$2:$D$965=D124)*($E$2:$E$965=E124)*($F$2:$F$965=F124)*($G$2:$G$965=G124)*($H$2:$H$965=H124)*($I$2:$I$965=I124)*($J$2:$J$965=J124)*($K$2:$K$965=K124)*($N$2:$N$965=N124))=1,"خیر",IF(SUMPRODUCT(($B$2:B124=B124)*($C$2:C124=C124)*($D$2:D124=D124)*($E$2:E124=E124)*($F$2:F124=F124)*($G$2:G124=G124)*($H$2:H124=H124)*($I$2:I124=I124)*($J$2:J124=J124)*($K$2:K124=K124)*($N$2:N124=N124))=1,"بله-1","بله")))</f>
        <v>خیر</v>
      </c>
      <c r="P124" s="5" t="str" cm="1">
        <f t="array" ref="P124">IF(A124="","",IF(SUMPRODUCT(($F$2:$F$969=F124)*($I$2:$I$969=I124))=1,"خیر",IF(SUMPRODUCT(($F$2:F124=F124)*($I$2:I124=I124))=1,"بله-1","بله")))</f>
        <v>خیر</v>
      </c>
    </row>
    <row r="125" spans="1:16" ht="18.75" x14ac:dyDescent="0.25">
      <c r="A125" s="2" t="s">
        <v>1030</v>
      </c>
      <c r="B125" s="2" t="s">
        <v>1015</v>
      </c>
      <c r="C125" s="2" t="s">
        <v>1016</v>
      </c>
      <c r="D125" s="2" t="s">
        <v>122</v>
      </c>
      <c r="E125" s="2" t="s">
        <v>123</v>
      </c>
      <c r="F125" s="2" t="s">
        <v>1031</v>
      </c>
      <c r="G125" s="2" t="s">
        <v>125</v>
      </c>
      <c r="H125" s="2" t="s">
        <v>126</v>
      </c>
      <c r="I125" s="2" t="s">
        <v>1032</v>
      </c>
      <c r="J125" s="2" t="s">
        <v>1004</v>
      </c>
      <c r="K125" s="2" t="s">
        <v>1033</v>
      </c>
      <c r="L125" s="3">
        <f>IF(OR(TRIM(I125)="",TRIM(K125)=""),"",IFERROR((VALUE(LEFT(TRIM(I125),4))-VALUE(LEFT(TRIM(K125),4)))*12+VALUE(MID(TRIM(I125),6,2))-VALUE(MID(TRIM(K125),6,2)),""))</f>
        <v>17</v>
      </c>
      <c r="M125" s="2" t="str">
        <f>IF(TRIM(H125)="","",IFERROR(LOOKUP(2,1/(ISNUMBER(SEARCH('منطق دسته‌بندی'!$A$2:$A$187,H125))),'منطق دسته‌بندی'!$B$2:$B$187),"سایر (نیازمند بررسی دستی)"))</f>
        <v>غیرگارانتی/بدون قطعه</v>
      </c>
      <c r="N125" s="2" t="s">
        <v>24</v>
      </c>
      <c r="O125" s="2" t="str" cm="1">
        <f t="array" ref="O125">IF(A125="","",IF(SUMPRODUCT(($B$2:$B$965=B125)*($C$2:$C$965=C125)*($D$2:$D$965=D125)*($E$2:$E$965=E125)*($F$2:$F$965=F125)*($G$2:$G$965=G125)*($H$2:$H$965=H125)*($I$2:$I$965=I125)*($J$2:$J$965=J125)*($K$2:$K$965=K125)*($N$2:$N$965=N125))=1,"خیر",IF(SUMPRODUCT(($B$2:B125=B125)*($C$2:C125=C125)*($D$2:D125=D125)*($E$2:E125=E125)*($F$2:F125=F125)*($G$2:G125=G125)*($H$2:H125=H125)*($I$2:I125=I125)*($J$2:J125=J125)*($K$2:K125=K125)*($N$2:N125=N125))=1,"بله-1","بله")))</f>
        <v>خیر</v>
      </c>
      <c r="P125" s="5" t="str" cm="1">
        <f t="array" ref="P125">IF(A125="","",IF(SUMPRODUCT(($F$2:$F$969=F125)*($I$2:$I$969=I125))=1,"خیر",IF(SUMPRODUCT(($F$2:F125=F125)*($I$2:I125=I125))=1,"بله-1","بله")))</f>
        <v>خیر</v>
      </c>
    </row>
    <row r="126" spans="1:16" ht="18.75" x14ac:dyDescent="0.25">
      <c r="A126" s="2" t="s">
        <v>475</v>
      </c>
      <c r="B126" s="2" t="s">
        <v>16</v>
      </c>
      <c r="C126" s="2" t="s">
        <v>17</v>
      </c>
      <c r="D126" s="2" t="s">
        <v>122</v>
      </c>
      <c r="E126" s="2" t="s">
        <v>123</v>
      </c>
      <c r="F126" s="2" t="s">
        <v>476</v>
      </c>
      <c r="G126" s="2" t="s">
        <v>125</v>
      </c>
      <c r="H126" s="2" t="s">
        <v>126</v>
      </c>
      <c r="I126" s="2" t="s">
        <v>435</v>
      </c>
      <c r="J126" s="2" t="s">
        <v>477</v>
      </c>
      <c r="K126" s="2" t="s">
        <v>478</v>
      </c>
      <c r="L126" s="3">
        <f>IF(OR(TRIM(I126)="",TRIM(K126)=""),"",IFERROR((VALUE(LEFT(TRIM(I126),4))-VALUE(LEFT(TRIM(K126),4)))*12+VALUE(MID(TRIM(I126),6,2))-VALUE(MID(TRIM(K126),6,2)),""))</f>
        <v>16</v>
      </c>
      <c r="M126" s="2" t="str">
        <f>IF(TRIM(H126)="","",IFERROR(LOOKUP(2,1/(ISNUMBER(SEARCH('منطق دسته‌بندی'!$A$2:$A$187,H126))),'منطق دسته‌بندی'!$B$2:$B$187),"سایر (نیازمند بررسی دستی)"))</f>
        <v>غیرگارانتی/بدون قطعه</v>
      </c>
      <c r="N126" s="2" t="s">
        <v>24</v>
      </c>
      <c r="O126" s="2" t="str" cm="1">
        <f t="array" ref="O126">IF(A126="","",IF(SUMPRODUCT(($B$2:$B$965=B126)*($C$2:$C$965=C126)*($D$2:$D$965=D126)*($E$2:$E$965=E126)*($F$2:$F$965=F126)*($G$2:$G$965=G126)*($H$2:$H$965=H126)*($I$2:$I$965=I126)*($J$2:$J$965=J126)*($K$2:$K$965=K126)*($N$2:$N$965=N126))=1,"خیر",IF(SUMPRODUCT(($B$2:B126=B126)*($C$2:C126=C126)*($D$2:D126=D126)*($E$2:E126=E126)*($F$2:F126=F126)*($G$2:G126=G126)*($H$2:H126=H126)*($I$2:I126=I126)*($J$2:J126=J126)*($K$2:K126=K126)*($N$2:N126=N126))=1,"بله-1","بله")))</f>
        <v>خیر</v>
      </c>
      <c r="P126" s="5" t="str" cm="1">
        <f t="array" ref="P126">IF(A126="","",IF(SUMPRODUCT(($F$2:$F$969=F126)*($I$2:$I$969=I126))=1,"خیر",IF(SUMPRODUCT(($F$2:F126=F126)*($I$2:I126=I126))=1,"بله-1","بله")))</f>
        <v>خیر</v>
      </c>
    </row>
    <row r="127" spans="1:16" ht="18.75" x14ac:dyDescent="0.25">
      <c r="A127" s="2" t="s">
        <v>983</v>
      </c>
      <c r="B127" s="2" t="s">
        <v>881</v>
      </c>
      <c r="C127" s="2" t="s">
        <v>882</v>
      </c>
      <c r="D127" s="2" t="s">
        <v>122</v>
      </c>
      <c r="E127" s="2" t="s">
        <v>123</v>
      </c>
      <c r="F127" s="2" t="s">
        <v>984</v>
      </c>
      <c r="G127" s="2" t="s">
        <v>985</v>
      </c>
      <c r="H127" s="2" t="s">
        <v>986</v>
      </c>
      <c r="I127" s="2" t="s">
        <v>980</v>
      </c>
      <c r="J127" s="2" t="s">
        <v>987</v>
      </c>
      <c r="K127" s="2" t="s">
        <v>988</v>
      </c>
      <c r="L127" s="3">
        <f>IF(OR(TRIM(I127)="",TRIM(K127)=""),"",IFERROR((VALUE(LEFT(TRIM(I127),4))-VALUE(LEFT(TRIM(K127),4)))*12+VALUE(MID(TRIM(I127),6,2))-VALUE(MID(TRIM(K127),6,2)),""))</f>
        <v>8</v>
      </c>
      <c r="M127" s="2" t="str">
        <f>IF(TRIM(H127)="","",IFERROR(LOOKUP(2,1/(ISNUMBER(SEARCH('منطق دسته‌بندی'!$A$2:$A$187,H127))),'منطق دسته‌بندی'!$B$2:$B$187),"سایر (نیازمند بررسی دستی)"))</f>
        <v>مکانیزم درب - لولا (تعویض/تنظیم)</v>
      </c>
      <c r="N127" s="2" t="s">
        <v>989</v>
      </c>
      <c r="O127" s="2" t="str" cm="1">
        <f t="array" ref="O127">IF(A127="","",IF(SUMPRODUCT(($B$2:$B$965=B127)*($C$2:$C$965=C127)*($D$2:$D$965=D127)*($E$2:$E$965=E127)*($F$2:$F$965=F127)*($G$2:$G$965=G127)*($H$2:$H$965=H127)*($I$2:$I$965=I127)*($J$2:$J$965=J127)*($K$2:$K$965=K127)*($N$2:$N$965=N127))=1,"خیر",IF(SUMPRODUCT(($B$2:B127=B127)*($C$2:C127=C127)*($D$2:D127=D127)*($E$2:E127=E127)*($F$2:F127=F127)*($G$2:G127=G127)*($H$2:H127=H127)*($I$2:I127=I127)*($J$2:J127=J127)*($K$2:K127=K127)*($N$2:N127=N127))=1,"بله-1","بله")))</f>
        <v>خیر</v>
      </c>
      <c r="P127" s="5" t="str" cm="1">
        <f t="array" ref="P127">IF(A127="","",IF(SUMPRODUCT(($F$2:$F$969=F127)*($I$2:$I$969=I127))=1,"خیر",IF(SUMPRODUCT(($F$2:F127=F127)*($I$2:I127=I127))=1,"بله-1","بله")))</f>
        <v>خیر</v>
      </c>
    </row>
    <row r="128" spans="1:16" ht="18.75" x14ac:dyDescent="0.25">
      <c r="A128" s="2" t="s">
        <v>975</v>
      </c>
      <c r="B128" s="2" t="s">
        <v>881</v>
      </c>
      <c r="C128" s="2" t="s">
        <v>882</v>
      </c>
      <c r="D128" s="2" t="s">
        <v>122</v>
      </c>
      <c r="E128" s="2" t="s">
        <v>123</v>
      </c>
      <c r="F128" s="2" t="s">
        <v>976</v>
      </c>
      <c r="G128" s="2" t="s">
        <v>125</v>
      </c>
      <c r="H128" s="2" t="s">
        <v>126</v>
      </c>
      <c r="I128" s="2" t="s">
        <v>973</v>
      </c>
      <c r="J128" s="2" t="s">
        <v>477</v>
      </c>
      <c r="K128" s="2" t="s">
        <v>977</v>
      </c>
      <c r="L128" s="3">
        <f>IF(OR(TRIM(I128)="",TRIM(K128)=""),"",IFERROR((VALUE(LEFT(TRIM(I128),4))-VALUE(LEFT(TRIM(K128),4)))*12+VALUE(MID(TRIM(I128),6,2))-VALUE(MID(TRIM(K128),6,2)),""))</f>
        <v>20</v>
      </c>
      <c r="M128" s="2" t="str">
        <f>IF(TRIM(H128)="","",IFERROR(LOOKUP(2,1/(ISNUMBER(SEARCH('منطق دسته‌بندی'!$A$2:$A$187,H128))),'منطق دسته‌بندی'!$B$2:$B$187),"سایر (نیازمند بررسی دستی)"))</f>
        <v>غیرگارانتی/بدون قطعه</v>
      </c>
      <c r="N128" s="2" t="s">
        <v>24</v>
      </c>
      <c r="O128" s="2" t="str" cm="1">
        <f t="array" ref="O128">IF(A128="","",IF(SUMPRODUCT(($B$2:$B$965=B128)*($C$2:$C$965=C128)*($D$2:$D$965=D128)*($E$2:$E$965=E128)*($F$2:$F$965=F128)*($G$2:$G$965=G128)*($H$2:$H$965=H128)*($I$2:$I$965=I128)*($J$2:$J$965=J128)*($K$2:$K$965=K128)*($N$2:$N$965=N128))=1,"خیر",IF(SUMPRODUCT(($B$2:B128=B128)*($C$2:C128=C128)*($D$2:D128=D128)*($E$2:E128=E128)*($F$2:F128=F128)*($G$2:G128=G128)*($H$2:H128=H128)*($I$2:I128=I128)*($J$2:J128=J128)*($K$2:K128=K128)*($N$2:N128=N128))=1,"بله-1","بله")))</f>
        <v>خیر</v>
      </c>
      <c r="P128" s="5" t="str" cm="1">
        <f t="array" ref="P128">IF(A128="","",IF(SUMPRODUCT(($F$2:$F$969=F128)*($I$2:$I$969=I128))=1,"خیر",IF(SUMPRODUCT(($F$2:F128=F128)*($I$2:I128=I128))=1,"بله-1","بله")))</f>
        <v>خیر</v>
      </c>
    </row>
    <row r="129" spans="1:16" ht="37.5" x14ac:dyDescent="0.25">
      <c r="A129" s="2" t="s">
        <v>587</v>
      </c>
      <c r="B129" s="2" t="s">
        <v>16</v>
      </c>
      <c r="C129" s="2" t="s">
        <v>17</v>
      </c>
      <c r="D129" s="2" t="s">
        <v>122</v>
      </c>
      <c r="E129" s="2" t="s">
        <v>123</v>
      </c>
      <c r="F129" s="2" t="s">
        <v>588</v>
      </c>
      <c r="G129" s="2" t="s">
        <v>589</v>
      </c>
      <c r="H129" s="2" t="s">
        <v>266</v>
      </c>
      <c r="I129" s="2" t="s">
        <v>580</v>
      </c>
      <c r="J129" s="2" t="s">
        <v>590</v>
      </c>
      <c r="K129" s="2" t="s">
        <v>267</v>
      </c>
      <c r="L129" s="3">
        <f>IF(OR(TRIM(I129)="",TRIM(K129)=""),"",IFERROR((VALUE(LEFT(TRIM(I129),4))-VALUE(LEFT(TRIM(K129),4)))*12+VALUE(MID(TRIM(I129),6,2))-VALUE(MID(TRIM(K129),6,2)),""))</f>
        <v>16</v>
      </c>
      <c r="M129" s="2" t="str">
        <f>IF(TRIM(H129)="","",IFERROR(LOOKUP(2,1/(ISNUMBER(SEARCH('منطق دسته‌بندی'!$A$2:$A$187,H129))),'منطق دسته‌بندی'!$B$2:$B$187),"سایر (نیازمند بررسی دستی)"))</f>
        <v>خرابی - برد الکترونیک (تعویض)</v>
      </c>
      <c r="N129" s="2" t="s">
        <v>268</v>
      </c>
      <c r="O129" s="2" t="str" cm="1">
        <f t="array" ref="O129">IF(A129="","",IF(SUMPRODUCT(($B$2:$B$965=B129)*($C$2:$C$965=C129)*($D$2:$D$965=D129)*($E$2:$E$965=E129)*($F$2:$F$965=F129)*($G$2:$G$965=G129)*($H$2:$H$965=H129)*($I$2:$I$965=I129)*($J$2:$J$965=J129)*($K$2:$K$965=K129)*($N$2:$N$965=N129))=1,"خیر",IF(SUMPRODUCT(($B$2:B129=B129)*($C$2:C129=C129)*($D$2:D129=D129)*($E$2:E129=E129)*($F$2:F129=F129)*($G$2:G129=G129)*($H$2:H129=H129)*($I$2:I129=I129)*($J$2:J129=J129)*($K$2:K129=K129)*($N$2:N129=N129))=1,"بله-1","بله")))</f>
        <v>خیر</v>
      </c>
      <c r="P129" s="5" t="str" cm="1">
        <f t="array" ref="P129">IF(A129="","",IF(SUMPRODUCT(($F$2:$F$969=F129)*($I$2:$I$969=I129))=1,"خیر",IF(SUMPRODUCT(($F$2:F129=F129)*($I$2:I129=I129))=1,"بله-1","بله")))</f>
        <v>خیر</v>
      </c>
    </row>
    <row r="130" spans="1:16" ht="37.5" x14ac:dyDescent="0.25">
      <c r="A130" s="2">
        <v>210023624</v>
      </c>
      <c r="B130" s="2" t="s">
        <v>1950</v>
      </c>
      <c r="C130" s="2" t="s">
        <v>1951</v>
      </c>
      <c r="D130" s="2" t="s">
        <v>122</v>
      </c>
      <c r="E130" s="2" t="s">
        <v>123</v>
      </c>
      <c r="F130" s="2" t="s">
        <v>1392</v>
      </c>
      <c r="G130" s="2" t="s">
        <v>1393</v>
      </c>
      <c r="H130" s="2" t="s">
        <v>1394</v>
      </c>
      <c r="I130" s="2" t="s">
        <v>1395</v>
      </c>
      <c r="J130" s="2" t="s">
        <v>1037</v>
      </c>
      <c r="K130" s="2" t="s">
        <v>582</v>
      </c>
      <c r="L130" s="3">
        <f>IF(OR(TRIM(I130)="",TRIM(K130)=""),"",IFERROR((VALUE(LEFT(TRIM(I130),4))-VALUE(LEFT(TRIM(K130),4)))*12+VALUE(MID(TRIM(I130),6,2))-VALUE(MID(TRIM(K130),6,2)),""))</f>
        <v>22</v>
      </c>
      <c r="M130" s="2" t="str">
        <f>IF(TRIM(H130)="","",IFERROR(LOOKUP(2,1/(ISNUMBER(SEARCH('منطق دسته‌بندی'!$A$2:$A$187,H130))),'منطق دسته‌بندی'!$B$2:$B$187),"سایر (نیازمند بررسی دستی)"))</f>
        <v>مکانیزم درب - لولا (تنظیم)</v>
      </c>
      <c r="N130" s="2" t="s">
        <v>1381</v>
      </c>
      <c r="O130" s="2" t="str" cm="1">
        <f t="array" ref="O130">IF(A130="","",IF(SUMPRODUCT(($B$2:$B$965=B130)*($C$2:$C$965=C130)*($D$2:$D$965=D130)*($E$2:$E$965=E130)*($F$2:$F$965=F130)*($G$2:$G$965=G130)*($H$2:$H$965=H130)*($I$2:$I$965=I130)*($J$2:$J$965=J130)*($K$2:$K$965=K130)*($N$2:$N$965=N130))=1,"خیر",IF(SUMPRODUCT(($B$2:B130=B130)*($C$2:C130=C130)*($D$2:D130=D130)*($E$2:E130=E130)*($F$2:F130=F130)*($G$2:G130=G130)*($H$2:H130=H130)*($I$2:I130=I130)*($J$2:J130=J130)*($K$2:K130=K130)*($N$2:N130=N130))=1,"بله-1","بله")))</f>
        <v>خیر</v>
      </c>
      <c r="P130" s="5" t="str" cm="1">
        <f t="array" ref="P130">IF(A130="","",IF(SUMPRODUCT(($F$2:$F$969=F130)*($I$2:$I$969=I130))=1,"خیر",IF(SUMPRODUCT(($F$2:F130=F130)*($I$2:I130=I130))=1,"بله-1","بله")))</f>
        <v>خیر</v>
      </c>
    </row>
    <row r="131" spans="1:16" ht="37.5" x14ac:dyDescent="0.25">
      <c r="A131" s="2" t="s">
        <v>1034</v>
      </c>
      <c r="B131" s="2" t="s">
        <v>1015</v>
      </c>
      <c r="C131" s="2" t="s">
        <v>1016</v>
      </c>
      <c r="D131" s="2" t="s">
        <v>122</v>
      </c>
      <c r="E131" s="2" t="s">
        <v>123</v>
      </c>
      <c r="F131" s="2" t="s">
        <v>1035</v>
      </c>
      <c r="G131" s="2" t="s">
        <v>250</v>
      </c>
      <c r="H131" s="2" t="s">
        <v>263</v>
      </c>
      <c r="I131" s="2" t="s">
        <v>1036</v>
      </c>
      <c r="J131" s="2" t="s">
        <v>1037</v>
      </c>
      <c r="K131" s="2" t="s">
        <v>1038</v>
      </c>
      <c r="L131" s="3">
        <f>IF(OR(TRIM(I131)="",TRIM(K131)=""),"",IFERROR((VALUE(LEFT(TRIM(I131),4))-VALUE(LEFT(TRIM(K131),4)))*12+VALUE(MID(TRIM(I131),6,2))-VALUE(MID(TRIM(K131),6,2)),""))</f>
        <v>20</v>
      </c>
      <c r="M131" s="2" t="str">
        <f>IF(TRIM(H131)="","",IFERROR(LOOKUP(2,1/(ISNUMBER(SEARCH('منطق دسته‌بندی'!$A$2:$A$187,H131))),'منطق دسته‌بندی'!$B$2:$B$187),"سایر (نیازمند بررسی دستی)"))</f>
        <v>یخساز - تنظیم/عایق (تعمیر)</v>
      </c>
      <c r="N131" s="2" t="s">
        <v>24</v>
      </c>
      <c r="O131" s="2" t="str" cm="1">
        <f t="array" ref="O131">IF(A131="","",IF(SUMPRODUCT(($B$2:$B$965=B131)*($C$2:$C$965=C131)*($D$2:$D$965=D131)*($E$2:$E$965=E131)*($F$2:$F$965=F131)*($G$2:$G$965=G131)*($H$2:$H$965=H131)*($I$2:$I$965=I131)*($J$2:$J$965=J131)*($K$2:$K$965=K131)*($N$2:$N$965=N131))=1,"خیر",IF(SUMPRODUCT(($B$2:B131=B131)*($C$2:C131=C131)*($D$2:D131=D131)*($E$2:E131=E131)*($F$2:F131=F131)*($G$2:G131=G131)*($H$2:H131=H131)*($I$2:I131=I131)*($J$2:J131=J131)*($K$2:K131=K131)*($N$2:N131=N131))=1,"بله-1","بله")))</f>
        <v>خیر</v>
      </c>
      <c r="P131" s="5" t="str" cm="1">
        <f t="array" ref="P131">IF(A131="","",IF(SUMPRODUCT(($F$2:$F$969=F131)*($I$2:$I$969=I131))=1,"خیر",IF(SUMPRODUCT(($F$2:F131=F131)*($I$2:I131=I131))=1,"بله-1","بله")))</f>
        <v>خیر</v>
      </c>
    </row>
    <row r="132" spans="1:16" ht="37.5" x14ac:dyDescent="0.25">
      <c r="A132" s="2">
        <v>210023168</v>
      </c>
      <c r="B132" s="2" t="s">
        <v>1950</v>
      </c>
      <c r="C132" s="2" t="s">
        <v>1951</v>
      </c>
      <c r="D132" s="2" t="s">
        <v>122</v>
      </c>
      <c r="E132" s="15" t="s">
        <v>123</v>
      </c>
      <c r="F132" s="2" t="s">
        <v>1386</v>
      </c>
      <c r="G132" s="2" t="s">
        <v>1387</v>
      </c>
      <c r="H132" s="2" t="s">
        <v>1388</v>
      </c>
      <c r="I132" s="2" t="s">
        <v>1389</v>
      </c>
      <c r="J132" s="2" t="s">
        <v>1390</v>
      </c>
      <c r="K132" s="2"/>
      <c r="L132" s="3" t="str">
        <f>IF(OR(TRIM(I132)="",TRIM(K132)=""),"",IFERROR((VALUE(LEFT(TRIM(I132),4))-VALUE(LEFT(TRIM(K132),4)))*12+VALUE(MID(TRIM(I132),6,2))-VALUE(MID(TRIM(K132),6,2)),""))</f>
        <v/>
      </c>
      <c r="M132" s="2" t="str">
        <f>IF(TRIM(H132)="","",IFERROR(LOOKUP(2,1/(ISNUMBER(SEARCH('منطق دسته‌بندی'!$A$2:$A$187,H132))),'منطق دسته‌بندی'!$B$2:$B$187),"سایر (نیازمند بررسی دستی)"))</f>
        <v>قطعات تزئینی - شکستگی/کسری (تعویض)</v>
      </c>
      <c r="N132" s="2" t="s">
        <v>1391</v>
      </c>
      <c r="O132" s="2" t="str" cm="1">
        <f t="array" ref="O132">IF(A132="","",IF(SUMPRODUCT(($B$2:$B$965=B132)*($C$2:$C$965=C132)*($D$2:$D$965=D132)*($E$2:$E$965=E132)*($F$2:$F$965=F132)*($G$2:$G$965=G132)*($H$2:$H$965=H132)*($I$2:$I$965=I132)*($J$2:$J$965=J132)*($K$2:$K$965=K132)*($N$2:$N$965=N132))=1,"خیر",IF(SUMPRODUCT(($B$2:B132=B132)*($C$2:C132=C132)*($D$2:D132=D132)*($E$2:E132=E132)*($F$2:F132=F132)*($G$2:G132=G132)*($H$2:H132=H132)*($I$2:I132=I132)*($J$2:J132=J132)*($K$2:K132=K132)*($N$2:N132=N132))=1,"بله-1","بله")))</f>
        <v>خیر</v>
      </c>
      <c r="P132" s="5" t="str" cm="1">
        <f t="array" ref="P132">IF(A132="","",IF(SUMPRODUCT(($F$2:$F$969=F132)*($I$2:$I$969=I132))=1,"خیر",IF(SUMPRODUCT(($F$2:F132=F132)*($I$2:I132=I132))=1,"بله-1","بله")))</f>
        <v>خیر</v>
      </c>
    </row>
    <row r="133" spans="1:16" ht="18.75" x14ac:dyDescent="0.25">
      <c r="A133" s="2" t="s">
        <v>133</v>
      </c>
      <c r="B133" s="2" t="s">
        <v>16</v>
      </c>
      <c r="C133" s="2" t="s">
        <v>17</v>
      </c>
      <c r="D133" s="2" t="s">
        <v>122</v>
      </c>
      <c r="E133" s="2" t="s">
        <v>123</v>
      </c>
      <c r="F133" s="2" t="s">
        <v>134</v>
      </c>
      <c r="G133" s="2" t="s">
        <v>125</v>
      </c>
      <c r="H133" s="2" t="s">
        <v>126</v>
      </c>
      <c r="I133" s="2" t="s">
        <v>47</v>
      </c>
      <c r="J133" s="2" t="s">
        <v>135</v>
      </c>
      <c r="K133" s="2" t="s">
        <v>136</v>
      </c>
      <c r="L133" s="3">
        <f>IF(OR(TRIM(I133)="",TRIM(K133)=""),"",IFERROR((VALUE(LEFT(TRIM(I133),4))-VALUE(LEFT(TRIM(K133),4)))*12+VALUE(MID(TRIM(I133),6,2))-VALUE(MID(TRIM(K133),6,2)),""))</f>
        <v>16</v>
      </c>
      <c r="M133" s="2" t="str">
        <f>IF(TRIM(H133)="","",IFERROR(LOOKUP(2,1/(ISNUMBER(SEARCH('منطق دسته‌بندی'!$A$2:$A$187,H133))),'منطق دسته‌بندی'!$B$2:$B$187),"سایر (نیازمند بررسی دستی)"))</f>
        <v>غیرگارانتی/بدون قطعه</v>
      </c>
      <c r="N133" s="2" t="s">
        <v>24</v>
      </c>
      <c r="O133" s="2" t="str" cm="1">
        <f t="array" ref="O133">IF(A133="","",IF(SUMPRODUCT(($B$2:$B$965=B133)*($C$2:$C$965=C133)*($D$2:$D$965=D133)*($E$2:$E$965=E133)*($F$2:$F$965=F133)*($G$2:$G$965=G133)*($H$2:$H$965=H133)*($I$2:$I$965=I133)*($J$2:$J$965=J133)*($K$2:$K$965=K133)*($N$2:$N$965=N133))=1,"خیر",IF(SUMPRODUCT(($B$2:B133=B133)*($C$2:C133=C133)*($D$2:D133=D133)*($E$2:E133=E133)*($F$2:F133=F133)*($G$2:G133=G133)*($H$2:H133=H133)*($I$2:I133=I133)*($J$2:J133=J133)*($K$2:K133=K133)*($N$2:N133=N133))=1,"بله-1","بله")))</f>
        <v>خیر</v>
      </c>
      <c r="P133" s="5" t="str" cm="1">
        <f t="array" ref="P133">IF(A133="","",IF(SUMPRODUCT(($F$2:$F$969=F133)*($I$2:$I$969=I133))=1,"خیر",IF(SUMPRODUCT(($F$2:F133=F133)*($I$2:I133=I133))=1,"بله-1","بله")))</f>
        <v>خیر</v>
      </c>
    </row>
    <row r="134" spans="1:16" ht="18.75" x14ac:dyDescent="0.25">
      <c r="A134" s="2" t="s">
        <v>785</v>
      </c>
      <c r="B134" s="2" t="s">
        <v>632</v>
      </c>
      <c r="C134" s="2" t="s">
        <v>633</v>
      </c>
      <c r="D134" s="2" t="s">
        <v>122</v>
      </c>
      <c r="E134" s="2" t="s">
        <v>123</v>
      </c>
      <c r="F134" s="2" t="s">
        <v>786</v>
      </c>
      <c r="G134" s="2" t="s">
        <v>787</v>
      </c>
      <c r="H134" s="2" t="s">
        <v>788</v>
      </c>
      <c r="I134" s="2" t="s">
        <v>773</v>
      </c>
      <c r="J134" s="2" t="s">
        <v>789</v>
      </c>
      <c r="K134" s="2" t="s">
        <v>790</v>
      </c>
      <c r="L134" s="3">
        <f>IF(OR(TRIM(I134)="",TRIM(K134)=""),"",IFERROR((VALUE(LEFT(TRIM(I134),4))-VALUE(LEFT(TRIM(K134),4)))*12+VALUE(MID(TRIM(I134),6,2))-VALUE(MID(TRIM(K134),6,2)),""))</f>
        <v>14</v>
      </c>
      <c r="M134" s="2" t="str">
        <f>IF(TRIM(H134)="","",IFERROR(LOOKUP(2,1/(ISNUMBER(SEARCH('منطق دسته‌بندی'!$A$2:$A$187,H134))),'منطق دسته‌بندی'!$B$2:$B$187),"سایر (نیازمند بررسی دستی)"))</f>
        <v>خرابی - کمپرسور (تعویض)</v>
      </c>
      <c r="N134" s="2" t="s">
        <v>791</v>
      </c>
      <c r="O134" s="2" t="str" cm="1">
        <f t="array" ref="O134">IF(A134="","",IF(SUMPRODUCT(($B$2:$B$965=B134)*($C$2:$C$965=C134)*($D$2:$D$965=D134)*($E$2:$E$965=E134)*($F$2:$F$965=F134)*($G$2:$G$965=G134)*($H$2:$H$965=H134)*($I$2:$I$965=I134)*($J$2:$J$965=J134)*($K$2:$K$965=K134)*($N$2:$N$965=N134))=1,"خیر",IF(SUMPRODUCT(($B$2:B134=B134)*($C$2:C134=C134)*($D$2:D134=D134)*($E$2:E134=E134)*($F$2:F134=F134)*($G$2:G134=G134)*($H$2:H134=H134)*($I$2:I134=I134)*($J$2:J134=J134)*($K$2:K134=K134)*($N$2:N134=N134))=1,"بله-1","بله")))</f>
        <v>خیر</v>
      </c>
      <c r="P134" s="5" t="str" cm="1">
        <f t="array" ref="P134">IF(A134="","",IF(SUMPRODUCT(($F$2:$F$969=F134)*($I$2:$I$969=I134))=1,"خیر",IF(SUMPRODUCT(($F$2:F134=F134)*($I$2:I134=I134))=1,"بله-1","بله")))</f>
        <v>خیر</v>
      </c>
    </row>
    <row r="135" spans="1:16" ht="18.75" x14ac:dyDescent="0.25">
      <c r="A135" s="2" t="s">
        <v>831</v>
      </c>
      <c r="B135" s="2" t="s">
        <v>632</v>
      </c>
      <c r="C135" s="2" t="s">
        <v>633</v>
      </c>
      <c r="D135" s="2" t="s">
        <v>58</v>
      </c>
      <c r="E135" s="2" t="s">
        <v>832</v>
      </c>
      <c r="F135" s="2" t="s">
        <v>833</v>
      </c>
      <c r="G135" s="2" t="s">
        <v>834</v>
      </c>
      <c r="H135" s="2" t="s">
        <v>62</v>
      </c>
      <c r="I135" s="2" t="s">
        <v>835</v>
      </c>
      <c r="J135" s="2" t="s">
        <v>222</v>
      </c>
      <c r="K135" s="2" t="s">
        <v>678</v>
      </c>
      <c r="L135" s="3">
        <f>IF(OR(TRIM(I135)="",TRIM(K135)=""),"",IFERROR((VALUE(LEFT(TRIM(I135),4))-VALUE(LEFT(TRIM(K135),4)))*12+VALUE(MID(TRIM(I135),6,2))-VALUE(MID(TRIM(K135),6,2)),""))</f>
        <v>14</v>
      </c>
      <c r="M135" s="2" t="str">
        <f>IF(TRIM(H135)="","",IFERROR(LOOKUP(2,1/(ISNUMBER(SEARCH('منطق دسته‌بندی'!$A$2:$A$187,H135))),'منطق دسته‌بندی'!$B$2:$B$187),"سایر (نیازمند بررسی دستی)"))</f>
        <v>ریموت کنترل (تعویض/تعمیر)</v>
      </c>
      <c r="N135" s="2" t="s">
        <v>836</v>
      </c>
      <c r="O135" s="2" t="str" cm="1">
        <f t="array" ref="O135">IF(A135="","",IF(SUMPRODUCT(($B$2:$B$965=B135)*($C$2:$C$965=C135)*($D$2:$D$965=D135)*($E$2:$E$965=E135)*($F$2:$F$965=F135)*($G$2:$G$965=G135)*($H$2:$H$965=H135)*($I$2:$I$965=I135)*($J$2:$J$965=J135)*($K$2:$K$965=K135)*($N$2:$N$965=N135))=1,"خیر",IF(SUMPRODUCT(($B$2:B135=B135)*($C$2:C135=C135)*($D$2:D135=D135)*($E$2:E135=E135)*($F$2:F135=F135)*($G$2:G135=G135)*($H$2:H135=H135)*($I$2:I135=I135)*($J$2:J135=J135)*($K$2:K135=K135)*($N$2:N135=N135))=1,"بله-1","بله")))</f>
        <v>خیر</v>
      </c>
      <c r="P135" s="5" t="str" cm="1">
        <f t="array" ref="P135">IF(A135="","",IF(SUMPRODUCT(($F$2:$F$969=F135)*($I$2:$I$969=I135))=1,"خیر",IF(SUMPRODUCT(($F$2:F135=F135)*($I$2:I135=I135))=1,"بله-1","بله")))</f>
        <v>خیر</v>
      </c>
    </row>
    <row r="136" spans="1:16" ht="18.75" x14ac:dyDescent="0.25">
      <c r="A136" s="2">
        <v>210023847</v>
      </c>
      <c r="B136" s="2" t="s">
        <v>1950</v>
      </c>
      <c r="C136" s="2" t="s">
        <v>1951</v>
      </c>
      <c r="D136" s="2" t="s">
        <v>58</v>
      </c>
      <c r="E136" s="2" t="s">
        <v>1585</v>
      </c>
      <c r="F136" s="2" t="s">
        <v>1586</v>
      </c>
      <c r="G136" s="2" t="s">
        <v>1587</v>
      </c>
      <c r="H136" s="2" t="s">
        <v>1487</v>
      </c>
      <c r="I136" s="2" t="s">
        <v>1389</v>
      </c>
      <c r="J136" s="2" t="s">
        <v>1350</v>
      </c>
      <c r="K136" s="2" t="s">
        <v>396</v>
      </c>
      <c r="L136" s="3">
        <f>IF(OR(TRIM(I136)="",TRIM(K136)=""),"",IFERROR((VALUE(LEFT(TRIM(I136),4))-VALUE(LEFT(TRIM(K136),4)))*12+VALUE(MID(TRIM(I136),6,2))-VALUE(MID(TRIM(K136),6,2)),""))</f>
        <v>13</v>
      </c>
      <c r="M136" s="2" t="str">
        <f>IF(TRIM(H136)="","",IFERROR(LOOKUP(2,1/(ISNUMBER(SEARCH('منطق دسته‌بندی'!$A$2:$A$187,H136))),'منطق دسته‌بندی'!$B$2:$B$187),"سایر (نیازمند بررسی دستی)"))</f>
        <v>خرابی - برد الکترونیک (تعویض)</v>
      </c>
      <c r="N136" s="2" t="s">
        <v>1588</v>
      </c>
      <c r="O136" s="2" t="str" cm="1">
        <f t="array" ref="O136">IF(A136="","",IF(SUMPRODUCT(($B$2:$B$965=B136)*($C$2:$C$965=C136)*($D$2:$D$965=D136)*($E$2:$E$965=E136)*($F$2:$F$965=F136)*($G$2:$G$965=G136)*($H$2:$H$965=H136)*($I$2:$I$965=I136)*($J$2:$J$965=J136)*($K$2:$K$965=K136)*($N$2:$N$965=N136))=1,"خیر",IF(SUMPRODUCT(($B$2:B136=B136)*($C$2:C136=C136)*($D$2:D136=D136)*($E$2:E136=E136)*($F$2:F136=F136)*($G$2:G136=G136)*($H$2:H136=H136)*($I$2:I136=I136)*($J$2:J136=J136)*($K$2:K136=K136)*($N$2:N136=N136))=1,"بله-1","بله")))</f>
        <v>خیر</v>
      </c>
      <c r="P136" s="5" t="str" cm="1">
        <f t="array" ref="P136">IF(A136="","",IF(SUMPRODUCT(($F$2:$F$969=F136)*($I$2:$I$969=I136))=1,"خیر",IF(SUMPRODUCT(($F$2:F136=F136)*($I$2:I136=I136))=1,"بله-1","بله")))</f>
        <v>خیر</v>
      </c>
    </row>
    <row r="137" spans="1:16" ht="18.75" x14ac:dyDescent="0.25">
      <c r="A137" s="2">
        <v>510025066</v>
      </c>
      <c r="B137" s="2" t="s">
        <v>1950</v>
      </c>
      <c r="C137" s="2" t="s">
        <v>1951</v>
      </c>
      <c r="D137" s="2" t="s">
        <v>58</v>
      </c>
      <c r="E137" s="15" t="s">
        <v>1582</v>
      </c>
      <c r="F137" s="2" t="s">
        <v>1583</v>
      </c>
      <c r="G137" s="2" t="s">
        <v>1486</v>
      </c>
      <c r="H137" s="2" t="s">
        <v>1487</v>
      </c>
      <c r="I137" s="2" t="s">
        <v>1470</v>
      </c>
      <c r="J137" s="2" t="s">
        <v>1577</v>
      </c>
      <c r="K137" s="2" t="s">
        <v>2021</v>
      </c>
      <c r="L137" s="3">
        <f>IF(OR(TRIM(I137)="",TRIM(K137)=""),"",IFERROR((VALUE(LEFT(TRIM(I137),4))-VALUE(LEFT(TRIM(K137),4)))*12+VALUE(MID(TRIM(I137),6,2))-VALUE(MID(TRIM(K137),6,2)),""))</f>
        <v>8</v>
      </c>
      <c r="M137" s="2" t="str">
        <f>IF(TRIM(H137)="","",IFERROR(LOOKUP(2,1/(ISNUMBER(SEARCH('منطق دسته‌بندی'!$A$2:$A$187,H137))),'منطق دسته‌بندی'!$B$2:$B$187),"سایر (نیازمند بررسی دستی)"))</f>
        <v>خرابی - برد الکترونیک (تعویض)</v>
      </c>
      <c r="N137" s="2" t="s">
        <v>1584</v>
      </c>
      <c r="O137" s="2" t="str" cm="1">
        <f t="array" ref="O137">IF(A137="","",IF(SUMPRODUCT(($B$2:$B$965=B137)*($C$2:$C$965=C137)*($D$2:$D$965=D137)*($E$2:$E$965=E137)*($F$2:$F$965=F137)*($G$2:$G$965=G137)*($H$2:$H$965=H137)*($I$2:$I$965=I137)*($J$2:$J$965=J137)*($K$2:$K$965=K137)*($N$2:$N$965=N137))=1,"خیر",IF(SUMPRODUCT(($B$2:B137=B137)*($C$2:C137=C137)*($D$2:D137=D137)*($E$2:E137=E137)*($F$2:F137=F137)*($G$2:G137=G137)*($H$2:H137=H137)*($I$2:I137=I137)*($J$2:J137=J137)*($K$2:K137=K137)*($N$2:N137=N137))=1,"بله-1","بله")))</f>
        <v>خیر</v>
      </c>
      <c r="P137" s="5" t="str" cm="1">
        <f t="array" ref="P137">IF(A137="","",IF(SUMPRODUCT(($F$2:$F$969=F137)*($I$2:$I$969=I137))=1,"خیر",IF(SUMPRODUCT(($F$2:F137=F137)*($I$2:I137=I137))=1,"بله-1","بله")))</f>
        <v>خیر</v>
      </c>
    </row>
    <row r="138" spans="1:16" ht="37.5" x14ac:dyDescent="0.25">
      <c r="A138" s="2" t="s">
        <v>696</v>
      </c>
      <c r="B138" s="2" t="s">
        <v>632</v>
      </c>
      <c r="C138" s="2" t="s">
        <v>633</v>
      </c>
      <c r="D138" s="2" t="s">
        <v>58</v>
      </c>
      <c r="E138" s="2" t="s">
        <v>236</v>
      </c>
      <c r="F138" s="2" t="s">
        <v>697</v>
      </c>
      <c r="G138" s="2" t="s">
        <v>698</v>
      </c>
      <c r="H138" s="2" t="s">
        <v>699</v>
      </c>
      <c r="I138" s="2" t="s">
        <v>700</v>
      </c>
      <c r="J138" s="2" t="s">
        <v>511</v>
      </c>
      <c r="K138" s="2" t="s">
        <v>174</v>
      </c>
      <c r="L138" s="3">
        <f>IF(OR(TRIM(I138)="",TRIM(K138)=""),"",IFERROR((VALUE(LEFT(TRIM(I138),4))-VALUE(LEFT(TRIM(K138),4)))*12+VALUE(MID(TRIM(I138),6,2))-VALUE(MID(TRIM(K138),6,2)),""))</f>
        <v>2</v>
      </c>
      <c r="M138" s="2" t="str">
        <f>IF(TRIM(H138)="","",IFERROR(LOOKUP(2,1/(ISNUMBER(SEARCH('منطق دسته‌بندی'!$A$2:$A$187,H138))),'منطق دسته‌بندی'!$B$2:$B$187),"سایر (نیازمند بررسی دستی)"))</f>
        <v>خرابی - برد الکترونیک (تعویض)</v>
      </c>
      <c r="N138" s="2" t="s">
        <v>188</v>
      </c>
      <c r="O138" s="2" t="str" cm="1">
        <f t="array" ref="O138">IF(A138="","",IF(SUMPRODUCT(($B$2:$B$965=B138)*($C$2:$C$965=C138)*($D$2:$D$965=D138)*($E$2:$E$965=E138)*($F$2:$F$965=F138)*($G$2:$G$965=G138)*($H$2:$H$965=H138)*($I$2:$I$965=I138)*($J$2:$J$965=J138)*($K$2:$K$965=K138)*($N$2:$N$965=N138))=1,"خیر",IF(SUMPRODUCT(($B$2:B138=B138)*($C$2:C138=C138)*($D$2:D138=D138)*($E$2:E138=E138)*($F$2:F138=F138)*($G$2:G138=G138)*($H$2:H138=H138)*($I$2:I138=I138)*($J$2:J138=J138)*($K$2:K138=K138)*($N$2:N138=N138))=1,"بله-1","بله")))</f>
        <v>خیر</v>
      </c>
      <c r="P138" s="5" t="str" cm="1">
        <f t="array" ref="P138">IF(A138="","",IF(SUMPRODUCT(($F$2:$F$969=F138)*($I$2:$I$969=I138))=1,"خیر",IF(SUMPRODUCT(($F$2:F138=F138)*($I$2:I138=I138))=1,"بله-1","بله")))</f>
        <v>خیر</v>
      </c>
    </row>
    <row r="139" spans="1:16" ht="18.75" x14ac:dyDescent="0.25">
      <c r="A139" s="2" t="s">
        <v>235</v>
      </c>
      <c r="B139" s="2" t="s">
        <v>16</v>
      </c>
      <c r="C139" s="2" t="s">
        <v>17</v>
      </c>
      <c r="D139" s="2" t="s">
        <v>58</v>
      </c>
      <c r="E139" s="2" t="s">
        <v>236</v>
      </c>
      <c r="F139" s="2" t="s">
        <v>237</v>
      </c>
      <c r="G139" s="2" t="s">
        <v>238</v>
      </c>
      <c r="H139" s="2" t="s">
        <v>62</v>
      </c>
      <c r="I139" s="2" t="s">
        <v>239</v>
      </c>
      <c r="J139" s="2" t="s">
        <v>240</v>
      </c>
      <c r="K139" s="2" t="s">
        <v>241</v>
      </c>
      <c r="L139" s="3">
        <f>IF(OR(TRIM(I139)="",TRIM(K139)=""),"",IFERROR((VALUE(LEFT(TRIM(I139),4))-VALUE(LEFT(TRIM(K139),4)))*12+VALUE(MID(TRIM(I139),6,2))-VALUE(MID(TRIM(K139),6,2)),""))</f>
        <v>11</v>
      </c>
      <c r="M139" s="2" t="str">
        <f>IF(TRIM(H139)="","",IFERROR(LOOKUP(2,1/(ISNUMBER(SEARCH('منطق دسته‌بندی'!$A$2:$A$187,H139))),'منطق دسته‌بندی'!$B$2:$B$187),"سایر (نیازمند بررسی دستی)"))</f>
        <v>ریموت کنترل (تعویض/تعمیر)</v>
      </c>
      <c r="N139" s="2" t="s">
        <v>24</v>
      </c>
      <c r="O139" s="2" t="str" cm="1">
        <f t="array" ref="O139">IF(A139="","",IF(SUMPRODUCT(($B$2:$B$965=B139)*($C$2:$C$965=C139)*($D$2:$D$965=D139)*($E$2:$E$965=E139)*($F$2:$F$965=F139)*($G$2:$G$965=G139)*($H$2:$H$965=H139)*($I$2:$I$965=I139)*($J$2:$J$965=J139)*($K$2:$K$965=K139)*($N$2:$N$965=N139))=1,"خیر",IF(SUMPRODUCT(($B$2:B139=B139)*($C$2:C139=C139)*($D$2:D139=D139)*($E$2:E139=E139)*($F$2:F139=F139)*($G$2:G139=G139)*($H$2:H139=H139)*($I$2:I139=I139)*($J$2:J139=J139)*($K$2:K139=K139)*($N$2:N139=N139))=1,"بله-1","بله")))</f>
        <v>خیر</v>
      </c>
      <c r="P139" s="5" t="str" cm="1">
        <f t="array" ref="P139">IF(A139="","",IF(SUMPRODUCT(($F$2:$F$969=F139)*($I$2:$I$969=I139))=1,"خیر",IF(SUMPRODUCT(($F$2:F139=F139)*($I$2:I139=I139))=1,"بله-1","بله")))</f>
        <v>خیر</v>
      </c>
    </row>
    <row r="140" spans="1:16" ht="18.75" x14ac:dyDescent="0.25">
      <c r="A140" s="2" t="s">
        <v>406</v>
      </c>
      <c r="B140" s="2" t="s">
        <v>16</v>
      </c>
      <c r="C140" s="2" t="s">
        <v>17</v>
      </c>
      <c r="D140" s="2" t="s">
        <v>58</v>
      </c>
      <c r="E140" s="2" t="s">
        <v>236</v>
      </c>
      <c r="F140" s="2" t="s">
        <v>407</v>
      </c>
      <c r="G140" s="2" t="s">
        <v>408</v>
      </c>
      <c r="H140" s="2" t="s">
        <v>409</v>
      </c>
      <c r="I140" s="2" t="s">
        <v>364</v>
      </c>
      <c r="J140" s="2" t="s">
        <v>410</v>
      </c>
      <c r="K140" s="2" t="s">
        <v>411</v>
      </c>
      <c r="L140" s="3">
        <f>IF(OR(TRIM(I140)="",TRIM(K140)=""),"",IFERROR((VALUE(LEFT(TRIM(I140),4))-VALUE(LEFT(TRIM(K140),4)))*12+VALUE(MID(TRIM(I140),6,2))-VALUE(MID(TRIM(K140),6,2)),""))</f>
        <v>10</v>
      </c>
      <c r="M140" s="2" t="str">
        <f>IF(TRIM(H140)="","",IFERROR(LOOKUP(2,1/(ISNUMBER(SEARCH('منطق دسته‌بندی'!$A$2:$A$187,H140))),'منطق دسته‌بندی'!$B$2:$B$187),"سایر (نیازمند بررسی دستی)"))</f>
        <v>غیرگارانتی/بدون قطعه</v>
      </c>
      <c r="N140" s="2" t="s">
        <v>24</v>
      </c>
      <c r="O140" s="2" t="str" cm="1">
        <f t="array" ref="O140">IF(A140="","",IF(SUMPRODUCT(($B$2:$B$965=B140)*($C$2:$C$965=C140)*($D$2:$D$965=D140)*($E$2:$E$965=E140)*($F$2:$F$965=F140)*($G$2:$G$965=G140)*($H$2:$H$965=H140)*($I$2:$I$965=I140)*($J$2:$J$965=J140)*($K$2:$K$965=K140)*($N$2:$N$965=N140))=1,"خیر",IF(SUMPRODUCT(($B$2:B140=B140)*($C$2:C140=C140)*($D$2:D140=D140)*($E$2:E140=E140)*($F$2:F140=F140)*($G$2:G140=G140)*($H$2:H140=H140)*($I$2:I140=I140)*($J$2:J140=J140)*($K$2:K140=K140)*($N$2:N140=N140))=1,"بله-1","بله")))</f>
        <v>خیر</v>
      </c>
      <c r="P140" s="5" t="str" cm="1">
        <f t="array" ref="P140">IF(A140="","",IF(SUMPRODUCT(($F$2:$F$969=F140)*($I$2:$I$969=I140))=1,"خیر",IF(SUMPRODUCT(($F$2:F140=F140)*($I$2:I140=I140))=1,"بله-1","بله")))</f>
        <v>خیر</v>
      </c>
    </row>
    <row r="141" spans="1:16" ht="18.75" x14ac:dyDescent="0.25">
      <c r="A141" s="2" t="s">
        <v>841</v>
      </c>
      <c r="B141" s="2" t="s">
        <v>632</v>
      </c>
      <c r="C141" s="2" t="s">
        <v>633</v>
      </c>
      <c r="D141" s="2" t="s">
        <v>58</v>
      </c>
      <c r="E141" s="2" t="s">
        <v>59</v>
      </c>
      <c r="F141" s="2" t="s">
        <v>842</v>
      </c>
      <c r="G141" s="2" t="s">
        <v>843</v>
      </c>
      <c r="H141" s="2" t="s">
        <v>844</v>
      </c>
      <c r="I141" s="2" t="s">
        <v>845</v>
      </c>
      <c r="J141" s="2" t="s">
        <v>558</v>
      </c>
      <c r="K141" s="2" t="s">
        <v>846</v>
      </c>
      <c r="L141" s="3">
        <f>IF(OR(TRIM(I141)="",TRIM(K141)=""),"",IFERROR((VALUE(LEFT(TRIM(I141),4))-VALUE(LEFT(TRIM(K141),4)))*12+VALUE(MID(TRIM(I141),6,2))-VALUE(MID(TRIM(K141),6,2)),""))</f>
        <v>0</v>
      </c>
      <c r="M141" s="2" t="str">
        <f>IF(TRIM(H141)="","",IFERROR(LOOKUP(2,1/(ISNUMBER(SEARCH('منطق دسته‌بندی'!$A$2:$A$187,H141))),'منطق دسته‌بندی'!$B$2:$B$187),"سایر (نیازمند بررسی دستی)"))</f>
        <v>سیم‌کشی/اتصالات (تعمیر/تنظیم)</v>
      </c>
      <c r="N141" s="2" t="s">
        <v>24</v>
      </c>
      <c r="O141" s="2" t="str" cm="1">
        <f t="array" ref="O141">IF(A141="","",IF(SUMPRODUCT(($B$2:$B$965=B141)*($C$2:$C$965=C141)*($D$2:$D$965=D141)*($E$2:$E$965=E141)*($F$2:$F$965=F141)*($G$2:$G$965=G141)*($H$2:$H$965=H141)*($I$2:$I$965=I141)*($J$2:$J$965=J141)*($K$2:$K$965=K141)*($N$2:$N$965=N141))=1,"خیر",IF(SUMPRODUCT(($B$2:B141=B141)*($C$2:C141=C141)*($D$2:D141=D141)*($E$2:E141=E141)*($F$2:F141=F141)*($G$2:G141=G141)*($H$2:H141=H141)*($I$2:I141=I141)*($J$2:J141=J141)*($K$2:K141=K141)*($N$2:N141=N141))=1,"بله-1","بله")))</f>
        <v>خیر</v>
      </c>
      <c r="P141" s="5" t="str" cm="1">
        <f t="array" ref="P141">IF(A141="","",IF(SUMPRODUCT(($F$2:$F$969=F141)*($I$2:$I$969=I141))=1,"خیر",IF(SUMPRODUCT(($F$2:F141=F141)*($I$2:I141=I141))=1,"بله-1","بله")))</f>
        <v>خیر</v>
      </c>
    </row>
    <row r="142" spans="1:16" ht="18.75" x14ac:dyDescent="0.25">
      <c r="A142" s="2" t="s">
        <v>57</v>
      </c>
      <c r="B142" s="2" t="s">
        <v>16</v>
      </c>
      <c r="C142" s="2" t="s">
        <v>17</v>
      </c>
      <c r="D142" s="2" t="s">
        <v>58</v>
      </c>
      <c r="E142" s="2" t="s">
        <v>59</v>
      </c>
      <c r="F142" s="2" t="s">
        <v>60</v>
      </c>
      <c r="G142" s="2" t="s">
        <v>61</v>
      </c>
      <c r="H142" s="2" t="s">
        <v>62</v>
      </c>
      <c r="I142" s="2" t="s">
        <v>47</v>
      </c>
      <c r="J142" s="2" t="s">
        <v>63</v>
      </c>
      <c r="K142" s="2" t="s">
        <v>64</v>
      </c>
      <c r="L142" s="3">
        <f>IF(OR(TRIM(I142)="",TRIM(K142)=""),"",IFERROR((VALUE(LEFT(TRIM(I142),4))-VALUE(LEFT(TRIM(K142),4)))*12+VALUE(MID(TRIM(I142),6,2))-VALUE(MID(TRIM(K142),6,2)),""))</f>
        <v>16</v>
      </c>
      <c r="M142" s="2" t="str">
        <f>IF(TRIM(H142)="","",IFERROR(LOOKUP(2,1/(ISNUMBER(SEARCH('منطق دسته‌بندی'!$A$2:$A$187,H142))),'منطق دسته‌بندی'!$B$2:$B$187),"سایر (نیازمند بررسی دستی)"))</f>
        <v>ریموت کنترل (تعویض/تعمیر)</v>
      </c>
      <c r="N142" s="2" t="s">
        <v>24</v>
      </c>
      <c r="O142" s="2" t="str" cm="1">
        <f t="array" ref="O142">IF(A142="","",IF(SUMPRODUCT(($B$2:$B$965=B142)*($C$2:$C$965=C142)*($D$2:$D$965=D142)*($E$2:$E$965=E142)*($F$2:$F$965=F142)*($G$2:$G$965=G142)*($H$2:$H$965=H142)*($I$2:$I$965=I142)*($J$2:$J$965=J142)*($K$2:$K$965=K142)*($N$2:$N$965=N142))=1,"خیر",IF(SUMPRODUCT(($B$2:B142=B142)*($C$2:C142=C142)*($D$2:D142=D142)*($E$2:E142=E142)*($F$2:F142=F142)*($G$2:G142=G142)*($H$2:H142=H142)*($I$2:I142=I142)*($J$2:J142=J142)*($K$2:K142=K142)*($N$2:N142=N142))=1,"بله-1","بله")))</f>
        <v>خیر</v>
      </c>
      <c r="P142" s="5" t="str" cm="1">
        <f t="array" ref="P142">IF(A142="","",IF(SUMPRODUCT(($F$2:$F$969=F142)*($I$2:$I$969=I142))=1,"خیر",IF(SUMPRODUCT(($F$2:F142=F142)*($I$2:I142=I142))=1,"بله-1","بله")))</f>
        <v>خیر</v>
      </c>
    </row>
    <row r="143" spans="1:16" ht="18.75" x14ac:dyDescent="0.25">
      <c r="A143" s="2" t="s">
        <v>1262</v>
      </c>
      <c r="B143" s="2" t="s">
        <v>1040</v>
      </c>
      <c r="C143" s="2" t="s">
        <v>1041</v>
      </c>
      <c r="D143" s="2" t="s">
        <v>58</v>
      </c>
      <c r="E143" s="2" t="s">
        <v>59</v>
      </c>
      <c r="F143" s="2" t="s">
        <v>1263</v>
      </c>
      <c r="G143" s="2" t="s">
        <v>61</v>
      </c>
      <c r="H143" s="2" t="s">
        <v>62</v>
      </c>
      <c r="I143" s="2" t="s">
        <v>1260</v>
      </c>
      <c r="J143" s="2" t="s">
        <v>1264</v>
      </c>
      <c r="K143" s="2" t="s">
        <v>339</v>
      </c>
      <c r="L143" s="3">
        <f>IF(OR(TRIM(I143)="",TRIM(K143)=""),"",IFERROR((VALUE(LEFT(TRIM(I143),4))-VALUE(LEFT(TRIM(K143),4)))*12+VALUE(MID(TRIM(I143),6,2))-VALUE(MID(TRIM(K143),6,2)),""))</f>
        <v>16</v>
      </c>
      <c r="M143" s="2" t="str">
        <f>IF(TRIM(H143)="","",IFERROR(LOOKUP(2,1/(ISNUMBER(SEARCH('منطق دسته‌بندی'!$A$2:$A$187,H143))),'منطق دسته‌بندی'!$B$2:$B$187),"سایر (نیازمند بررسی دستی)"))</f>
        <v>ریموت کنترل (تعویض/تعمیر)</v>
      </c>
      <c r="N143" s="2" t="s">
        <v>1265</v>
      </c>
      <c r="O143" s="2" t="str" cm="1">
        <f t="array" ref="O143">IF(A143="","",IF(SUMPRODUCT(($B$2:$B$965=B143)*($C$2:$C$965=C143)*($D$2:$D$965=D143)*($E$2:$E$965=E143)*($F$2:$F$965=F143)*($G$2:$G$965=G143)*($H$2:$H$965=H143)*($I$2:$I$965=I143)*($J$2:$J$965=J143)*($K$2:$K$965=K143)*($N$2:$N$965=N143))=1,"خیر",IF(SUMPRODUCT(($B$2:B143=B143)*($C$2:C143=C143)*($D$2:D143=D143)*($E$2:E143=E143)*($F$2:F143=F143)*($G$2:G143=G143)*($H$2:H143=H143)*($I$2:I143=I143)*($J$2:J143=J143)*($K$2:K143=K143)*($N$2:N143=N143))=1,"بله-1","بله")))</f>
        <v>خیر</v>
      </c>
      <c r="P143" s="5" t="str" cm="1">
        <f t="array" ref="P143">IF(A143="","",IF(SUMPRODUCT(($F$2:$F$969=F143)*($I$2:$I$969=I143))=1,"خیر",IF(SUMPRODUCT(($F$2:F143=F143)*($I$2:I143=I143))=1,"بله-1","بله")))</f>
        <v>خیر</v>
      </c>
    </row>
    <row r="144" spans="1:16" ht="18.75" x14ac:dyDescent="0.25">
      <c r="A144" s="2" t="s">
        <v>724</v>
      </c>
      <c r="B144" s="2" t="s">
        <v>632</v>
      </c>
      <c r="C144" s="2" t="s">
        <v>633</v>
      </c>
      <c r="D144" s="2" t="s">
        <v>58</v>
      </c>
      <c r="E144" s="2" t="s">
        <v>59</v>
      </c>
      <c r="F144" s="2" t="s">
        <v>725</v>
      </c>
      <c r="G144" s="2" t="s">
        <v>726</v>
      </c>
      <c r="H144" s="2" t="s">
        <v>727</v>
      </c>
      <c r="I144" s="2" t="s">
        <v>572</v>
      </c>
      <c r="J144" s="2" t="s">
        <v>728</v>
      </c>
      <c r="K144" s="2" t="s">
        <v>546</v>
      </c>
      <c r="L144" s="3">
        <f>IF(OR(TRIM(I144)="",TRIM(K144)=""),"",IFERROR((VALUE(LEFT(TRIM(I144),4))-VALUE(LEFT(TRIM(K144),4)))*12+VALUE(MID(TRIM(I144),6,2))-VALUE(MID(TRIM(K144),6,2)),""))</f>
        <v>14</v>
      </c>
      <c r="M144" s="2" t="str">
        <f>IF(TRIM(H144)="","",IFERROR(LOOKUP(2,1/(ISNUMBER(SEARCH('منطق دسته‌بندی'!$A$2:$A$187,H144))),'منطق دسته‌بندی'!$B$2:$B$187),"سایر (نیازمند بررسی دستی)"))</f>
        <v>خرابی - برد الکترونیک (تعویض)</v>
      </c>
      <c r="N144" s="2" t="s">
        <v>188</v>
      </c>
      <c r="O144" s="2" t="str" cm="1">
        <f t="array" ref="O144">IF(A144="","",IF(SUMPRODUCT(($B$2:$B$965=B144)*($C$2:$C$965=C144)*($D$2:$D$965=D144)*($E$2:$E$965=E144)*($F$2:$F$965=F144)*($G$2:$G$965=G144)*($H$2:$H$965=H144)*($I$2:$I$965=I144)*($J$2:$J$965=J144)*($K$2:$K$965=K144)*($N$2:$N$965=N144))=1,"خیر",IF(SUMPRODUCT(($B$2:B144=B144)*($C$2:C144=C144)*($D$2:D144=D144)*($E$2:E144=E144)*($F$2:F144=F144)*($G$2:G144=G144)*($H$2:H144=H144)*($I$2:I144=I144)*($J$2:J144=J144)*($K$2:K144=K144)*($N$2:N144=N144))=1,"بله-1","بله")))</f>
        <v>خیر</v>
      </c>
      <c r="P144" s="5" t="str" cm="1">
        <f t="array" ref="P144">IF(A144="","",IF(SUMPRODUCT(($F$2:$F$969=F144)*($I$2:$I$969=I144))=1,"خیر",IF(SUMPRODUCT(($F$2:F144=F144)*($I$2:I144=I144))=1,"بله-1","بله")))</f>
        <v>خیر</v>
      </c>
    </row>
    <row r="145" spans="1:16" ht="18.75" x14ac:dyDescent="0.25">
      <c r="A145" s="2" t="s">
        <v>182</v>
      </c>
      <c r="B145" s="2" t="s">
        <v>16</v>
      </c>
      <c r="C145" s="2" t="s">
        <v>17</v>
      </c>
      <c r="D145" s="2" t="s">
        <v>58</v>
      </c>
      <c r="E145" s="2" t="s">
        <v>59</v>
      </c>
      <c r="F145" s="2" t="s">
        <v>183</v>
      </c>
      <c r="G145" s="2" t="s">
        <v>184</v>
      </c>
      <c r="H145" s="2" t="s">
        <v>185</v>
      </c>
      <c r="I145" s="2" t="s">
        <v>47</v>
      </c>
      <c r="J145" s="2" t="s">
        <v>186</v>
      </c>
      <c r="K145" s="2" t="s">
        <v>187</v>
      </c>
      <c r="L145" s="3">
        <f>IF(OR(TRIM(I145)="",TRIM(K145)=""),"",IFERROR((VALUE(LEFT(TRIM(I145),4))-VALUE(LEFT(TRIM(K145),4)))*12+VALUE(MID(TRIM(I145),6,2))-VALUE(MID(TRIM(K145),6,2)),""))</f>
        <v>11</v>
      </c>
      <c r="M145" s="2" t="str">
        <f>IF(TRIM(H145)="","",IFERROR(LOOKUP(2,1/(ISNUMBER(SEARCH('منطق دسته‌بندی'!$A$2:$A$187,H145))),'منطق دسته‌بندی'!$B$2:$B$187),"سایر (نیازمند بررسی دستی)"))</f>
        <v>برد نمایش تلویزیون (تعویض)</v>
      </c>
      <c r="N145" s="2" t="s">
        <v>188</v>
      </c>
      <c r="O145" s="2" t="str" cm="1">
        <f t="array" ref="O145">IF(A145="","",IF(SUMPRODUCT(($B$2:$B$965=B145)*($C$2:$C$965=C145)*($D$2:$D$965=D145)*($E$2:$E$965=E145)*($F$2:$F$965=F145)*($G$2:$G$965=G145)*($H$2:$H$965=H145)*($I$2:$I$965=I145)*($J$2:$J$965=J145)*($K$2:$K$965=K145)*($N$2:$N$965=N145))=1,"خیر",IF(SUMPRODUCT(($B$2:B145=B145)*($C$2:C145=C145)*($D$2:D145=D145)*($E$2:E145=E145)*($F$2:F145=F145)*($G$2:G145=G145)*($H$2:H145=H145)*($I$2:I145=I145)*($J$2:J145=J145)*($K$2:K145=K145)*($N$2:N145=N145))=1,"بله-1","بله")))</f>
        <v>خیر</v>
      </c>
      <c r="P145" s="5" t="str" cm="1">
        <f t="array" ref="P145">IF(A145="","",IF(SUMPRODUCT(($F$2:$F$969=F145)*($I$2:$I$969=I145))=1,"خیر",IF(SUMPRODUCT(($F$2:F145=F145)*($I$2:I145=I145))=1,"بله-1","بله")))</f>
        <v>خیر</v>
      </c>
    </row>
    <row r="146" spans="1:16" ht="18.75" x14ac:dyDescent="0.25">
      <c r="A146" s="2">
        <v>510026491</v>
      </c>
      <c r="B146" s="2" t="s">
        <v>1950</v>
      </c>
      <c r="C146" s="2" t="s">
        <v>1951</v>
      </c>
      <c r="D146" s="2" t="s">
        <v>58</v>
      </c>
      <c r="E146" s="2" t="s">
        <v>1484</v>
      </c>
      <c r="F146" s="2" t="s">
        <v>1485</v>
      </c>
      <c r="G146" s="2" t="s">
        <v>1486</v>
      </c>
      <c r="H146" s="2" t="s">
        <v>1487</v>
      </c>
      <c r="I146" s="2" t="s">
        <v>1399</v>
      </c>
      <c r="J146" s="2" t="s">
        <v>1488</v>
      </c>
      <c r="K146" s="2" t="s">
        <v>1489</v>
      </c>
      <c r="L146" s="3">
        <f>IF(OR(TRIM(I146)="",TRIM(K146)=""),"",IFERROR((VALUE(LEFT(TRIM(I146),4))-VALUE(LEFT(TRIM(K146),4)))*12+VALUE(MID(TRIM(I146),6,2))-VALUE(MID(TRIM(K146),6,2)),""))</f>
        <v>20</v>
      </c>
      <c r="M146" s="2" t="str">
        <f>IF(TRIM(H146)="","",IFERROR(LOOKUP(2,1/(ISNUMBER(SEARCH('منطق دسته‌بندی'!$A$2:$A$187,H146))),'منطق دسته‌بندی'!$B$2:$B$187),"سایر (نیازمند بررسی دستی)"))</f>
        <v>خرابی - برد الکترونیک (تعویض)</v>
      </c>
      <c r="N146" s="2" t="s">
        <v>1490</v>
      </c>
      <c r="O146" s="2" t="str" cm="1">
        <f t="array" ref="O146">IF(A146="","",IF(SUMPRODUCT(($B$2:$B$965=B146)*($C$2:$C$965=C146)*($D$2:$D$965=D146)*($E$2:$E$965=E146)*($F$2:$F$965=F146)*($G$2:$G$965=G146)*($H$2:$H$965=H146)*($I$2:$I$965=I146)*($J$2:$J$965=J146)*($K$2:$K$965=K146)*($N$2:$N$965=N146))=1,"خیر",IF(SUMPRODUCT(($B$2:B146=B146)*($C$2:C146=C146)*($D$2:D146=D146)*($E$2:E146=E146)*($F$2:F146=F146)*($G$2:G146=G146)*($H$2:H146=H146)*($I$2:I146=I146)*($J$2:J146=J146)*($K$2:K146=K146)*($N$2:N146=N146))=1,"بله-1","بله")))</f>
        <v>خیر</v>
      </c>
      <c r="P146" s="5" t="str" cm="1">
        <f t="array" ref="P146">IF(A146="","",IF(SUMPRODUCT(($F$2:$F$969=F146)*($I$2:$I$969=I146))=1,"خیر",IF(SUMPRODUCT(($F$2:F146=F146)*($I$2:I146=I146))=1,"بله-1","بله")))</f>
        <v>خیر</v>
      </c>
    </row>
    <row r="147" spans="1:16" ht="18.75" x14ac:dyDescent="0.25">
      <c r="A147" s="2">
        <v>510025542</v>
      </c>
      <c r="B147" s="2" t="s">
        <v>1950</v>
      </c>
      <c r="C147" s="2" t="s">
        <v>1951</v>
      </c>
      <c r="D147" s="2" t="s">
        <v>42</v>
      </c>
      <c r="E147" s="2" t="s">
        <v>1117</v>
      </c>
      <c r="F147" s="2" t="s">
        <v>1687</v>
      </c>
      <c r="G147" s="2" t="s">
        <v>1688</v>
      </c>
      <c r="H147" s="2" t="s">
        <v>1667</v>
      </c>
      <c r="I147" s="2" t="s">
        <v>1389</v>
      </c>
      <c r="J147" s="2" t="s">
        <v>1689</v>
      </c>
      <c r="K147" s="2" t="s">
        <v>47</v>
      </c>
      <c r="L147" s="3">
        <f>IF(OR(TRIM(I147)="",TRIM(K147)=""),"",IFERROR((VALUE(LEFT(TRIM(I147),4))-VALUE(LEFT(TRIM(K147),4)))*12+VALUE(MID(TRIM(I147),6,2))-VALUE(MID(TRIM(K147),6,2)),""))</f>
        <v>5</v>
      </c>
      <c r="M147" s="2" t="str">
        <f>IF(TRIM(H147)="","",IFERROR(LOOKUP(2,1/(ISNUMBER(SEARCH('منطق دسته‌بندی'!$A$2:$A$187,H147))),'منطق دسته‌بندی'!$B$2:$B$187),"سایر (نیازمند بررسی دستی)"))</f>
        <v>کسری اقلام بسته‌بندی</v>
      </c>
      <c r="N147" s="2" t="s">
        <v>1603</v>
      </c>
      <c r="O147" s="2" t="str" cm="1">
        <f t="array" ref="O147">IF(A147="","",IF(SUMPRODUCT(($B$2:$B$965=B147)*($C$2:$C$965=C147)*($D$2:$D$965=D147)*($E$2:$E$965=E147)*($F$2:$F$965=F147)*($G$2:$G$965=G147)*($H$2:$H$965=H147)*($I$2:$I$965=I147)*($J$2:$J$965=J147)*($K$2:$K$965=K147)*($N$2:$N$965=N147))=1,"خیر",IF(SUMPRODUCT(($B$2:B147=B147)*($C$2:C147=C147)*($D$2:D147=D147)*($E$2:E147=E147)*($F$2:F147=F147)*($G$2:G147=G147)*($H$2:H147=H147)*($I$2:I147=I147)*($J$2:J147=J147)*($K$2:K147=K147)*($N$2:N147=N147))=1,"بله-1","بله")))</f>
        <v>خیر</v>
      </c>
      <c r="P147" s="5" t="str" cm="1">
        <f t="array" ref="P147">IF(A147="","",IF(SUMPRODUCT(($F$2:$F$969=F147)*($I$2:$I$969=I147))=1,"خیر",IF(SUMPRODUCT(($F$2:F147=F147)*($I$2:I147=I147))=1,"بله-1","بله")))</f>
        <v>خیر</v>
      </c>
    </row>
    <row r="148" spans="1:16" ht="18.75" x14ac:dyDescent="0.25">
      <c r="A148" s="2" t="s">
        <v>1116</v>
      </c>
      <c r="B148" s="2" t="s">
        <v>1040</v>
      </c>
      <c r="C148" s="2" t="s">
        <v>1041</v>
      </c>
      <c r="D148" s="2" t="s">
        <v>42</v>
      </c>
      <c r="E148" s="2" t="s">
        <v>1117</v>
      </c>
      <c r="F148" s="2" t="s">
        <v>1118</v>
      </c>
      <c r="G148" s="2" t="s">
        <v>1119</v>
      </c>
      <c r="H148" s="2" t="s">
        <v>503</v>
      </c>
      <c r="I148" s="2" t="s">
        <v>1092</v>
      </c>
      <c r="J148" s="2" t="s">
        <v>550</v>
      </c>
      <c r="K148" s="2" t="s">
        <v>673</v>
      </c>
      <c r="L148" s="3">
        <f>IF(OR(TRIM(I148)="",TRIM(K148)=""),"",IFERROR((VALUE(LEFT(TRIM(I148),4))-VALUE(LEFT(TRIM(K148),4)))*12+VALUE(MID(TRIM(I148),6,2))-VALUE(MID(TRIM(K148),6,2)),""))</f>
        <v>3</v>
      </c>
      <c r="M148" s="2" t="str">
        <f>IF(TRIM(H148)="","",IFERROR(LOOKUP(2,1/(ISNUMBER(SEARCH('منطق دسته‌بندی'!$A$2:$A$187,H148))),'منطق دسته‌بندی'!$B$2:$B$187),"سایر (نیازمند بررسی دستی)"))</f>
        <v>نشتی - شیلنگ (تعمیر/آب‌بندی)</v>
      </c>
      <c r="N148" s="2" t="s">
        <v>24</v>
      </c>
      <c r="O148" s="2" t="str" cm="1">
        <f t="array" ref="O148">IF(A148="","",IF(SUMPRODUCT(($B$2:$B$965=B148)*($C$2:$C$965=C148)*($D$2:$D$965=D148)*($E$2:$E$965=E148)*($F$2:$F$965=F148)*($G$2:$G$965=G148)*($H$2:$H$965=H148)*($I$2:$I$965=I148)*($J$2:$J$965=J148)*($K$2:$K$965=K148)*($N$2:$N$965=N148))=1,"خیر",IF(SUMPRODUCT(($B$2:B148=B148)*($C$2:C148=C148)*($D$2:D148=D148)*($E$2:E148=E148)*($F$2:F148=F148)*($G$2:G148=G148)*($H$2:H148=H148)*($I$2:I148=I148)*($J$2:J148=J148)*($K$2:K148=K148)*($N$2:N148=N148))=1,"بله-1","بله")))</f>
        <v>خیر</v>
      </c>
      <c r="P148" s="5" t="str" cm="1">
        <f t="array" ref="P148">IF(A148="","",IF(SUMPRODUCT(($F$2:$F$969=F148)*($I$2:$I$969=I148))=1,"خیر",IF(SUMPRODUCT(($F$2:F148=F148)*($I$2:I148=I148))=1,"بله-1","بله")))</f>
        <v>خیر</v>
      </c>
    </row>
    <row r="149" spans="1:16" ht="18.75" x14ac:dyDescent="0.25">
      <c r="A149" s="2">
        <v>510026231</v>
      </c>
      <c r="B149" s="2" t="s">
        <v>1950</v>
      </c>
      <c r="C149" s="2" t="s">
        <v>1951</v>
      </c>
      <c r="D149" s="2" t="s">
        <v>42</v>
      </c>
      <c r="E149" s="2" t="s">
        <v>1675</v>
      </c>
      <c r="F149" s="2" t="s">
        <v>1676</v>
      </c>
      <c r="G149" s="2" t="s">
        <v>1677</v>
      </c>
      <c r="H149" s="2" t="s">
        <v>1678</v>
      </c>
      <c r="I149" s="2" t="s">
        <v>1559</v>
      </c>
      <c r="J149" s="2" t="s">
        <v>1679</v>
      </c>
      <c r="K149" s="2" t="s">
        <v>1559</v>
      </c>
      <c r="L149" s="3">
        <f>IF(OR(TRIM(I149)="",TRIM(K149)=""),"",IFERROR((VALUE(LEFT(TRIM(I149),4))-VALUE(LEFT(TRIM(K149),4)))*12+VALUE(MID(TRIM(I149),6,2))-VALUE(MID(TRIM(K149),6,2)),""))</f>
        <v>0</v>
      </c>
      <c r="M149" s="2" t="str">
        <f>IF(TRIM(H149)="","",IFERROR(LOOKUP(2,1/(ISNUMBER(SEARCH('منطق دسته‌بندی'!$A$2:$A$187,H149))),'منطق دسته‌بندی'!$B$2:$B$187),"سایر (نیازمند بررسی دستی)"))</f>
        <v>جلوپایی/پایه (کسری/شکستگی)</v>
      </c>
      <c r="N149" s="2" t="s">
        <v>1680</v>
      </c>
      <c r="O149" s="2" t="str" cm="1">
        <f t="array" ref="O149">IF(A149="","",IF(SUMPRODUCT(($B$2:$B$965=B149)*($C$2:$C$965=C149)*($D$2:$D$965=D149)*($E$2:$E$965=E149)*($F$2:$F$965=F149)*($G$2:$G$965=G149)*($H$2:$H$965=H149)*($I$2:$I$965=I149)*($J$2:$J$965=J149)*($K$2:$K$965=K149)*($N$2:$N$965=N149))=1,"خیر",IF(SUMPRODUCT(($B$2:B149=B149)*($C$2:C149=C149)*($D$2:D149=D149)*($E$2:E149=E149)*($F$2:F149=F149)*($G$2:G149=G149)*($H$2:H149=H149)*($I$2:I149=I149)*($J$2:J149=J149)*($K$2:K149=K149)*($N$2:N149=N149))=1,"بله-1","بله")))</f>
        <v>خیر</v>
      </c>
      <c r="P149" s="5" t="str" cm="1">
        <f t="array" ref="P149">IF(A149="","",IF(SUMPRODUCT(($F$2:$F$969=F149)*($I$2:$I$969=I149))=1,"خیر",IF(SUMPRODUCT(($F$2:F149=F149)*($I$2:I149=I149))=1,"بله-1","بله")))</f>
        <v>خیر</v>
      </c>
    </row>
    <row r="150" spans="1:16" ht="18.75" x14ac:dyDescent="0.25">
      <c r="A150" s="2">
        <v>510025296</v>
      </c>
      <c r="B150" s="2" t="s">
        <v>1950</v>
      </c>
      <c r="C150" s="2" t="s">
        <v>1951</v>
      </c>
      <c r="D150" s="2" t="s">
        <v>42</v>
      </c>
      <c r="E150" s="2" t="s">
        <v>1057</v>
      </c>
      <c r="F150" s="2" t="s">
        <v>1662</v>
      </c>
      <c r="G150" s="2" t="s">
        <v>1436</v>
      </c>
      <c r="H150" s="18" t="s">
        <v>1891</v>
      </c>
      <c r="I150" s="2" t="s">
        <v>1458</v>
      </c>
      <c r="J150" s="2" t="s">
        <v>464</v>
      </c>
      <c r="K150" s="2" t="s">
        <v>1663</v>
      </c>
      <c r="L150" s="3">
        <f>IF(OR(TRIM(I150)="",TRIM(K150)=""),"",IFERROR((VALUE(LEFT(TRIM(I150),4))-VALUE(LEFT(TRIM(K150),4)))*12+VALUE(MID(TRIM(I150),6,2))-VALUE(MID(TRIM(K150),6,2)),""))</f>
        <v>6</v>
      </c>
      <c r="M150" s="2" t="str">
        <f>IF(TRIM(H150)="","",IFERROR(LOOKUP(2,1/(ISNUMBER(SEARCH('منطق دسته‌بندی'!$A$2:$A$187,H150))),'منطق دسته‌بندی'!$B$2:$B$187),"سایر (نیازمند بررسی دستی)"))</f>
        <v>تنظیم - تنظیمات دستگاه/دیسپلی (تعمیر)</v>
      </c>
      <c r="N150" s="2" t="s">
        <v>1381</v>
      </c>
      <c r="O150" s="2" t="str" cm="1">
        <f t="array" ref="O150">IF(A150="","",IF(SUMPRODUCT(($B$2:$B$965=B150)*($C$2:$C$965=C150)*($D$2:$D$965=D150)*($E$2:$E$965=E150)*($F$2:$F$965=F150)*($G$2:$G$965=G150)*($H$2:$H$965=H150)*($I$2:$I$965=I150)*($J$2:$J$965=J150)*($K$2:$K$965=K150)*($N$2:$N$965=N150))=1,"خیر",IF(SUMPRODUCT(($B$2:B150=B150)*($C$2:C150=C150)*($D$2:D150=D150)*($E$2:E150=E150)*($F$2:F150=F150)*($G$2:G150=G150)*($H$2:H150=H150)*($I$2:I150=I150)*($J$2:J150=J150)*($K$2:K150=K150)*($N$2:N150=N150))=1,"بله-1","بله")))</f>
        <v>خیر</v>
      </c>
      <c r="P150" s="5" t="str" cm="1">
        <f t="array" ref="P150">IF(A150="","",IF(SUMPRODUCT(($F$2:$F$969=F150)*($I$2:$I$969=I150))=1,"خیر",IF(SUMPRODUCT(($F$2:F150=F150)*($I$2:I150=I150))=1,"بله-1","بله")))</f>
        <v>خیر</v>
      </c>
    </row>
    <row r="151" spans="1:16" ht="18.75" x14ac:dyDescent="0.25">
      <c r="A151" s="2" t="s">
        <v>1174</v>
      </c>
      <c r="B151" s="2" t="s">
        <v>1040</v>
      </c>
      <c r="C151" s="2" t="s">
        <v>1041</v>
      </c>
      <c r="D151" s="2" t="s">
        <v>42</v>
      </c>
      <c r="E151" s="2" t="s">
        <v>1057</v>
      </c>
      <c r="F151" s="2" t="s">
        <v>1175</v>
      </c>
      <c r="G151" s="2" t="s">
        <v>608</v>
      </c>
      <c r="H151" s="18" t="s">
        <v>1891</v>
      </c>
      <c r="I151" s="2" t="s">
        <v>1176</v>
      </c>
      <c r="J151" s="2" t="s">
        <v>1177</v>
      </c>
      <c r="K151" s="2" t="s">
        <v>766</v>
      </c>
      <c r="L151" s="3">
        <f>IF(OR(TRIM(I151)="",TRIM(K151)=""),"",IFERROR((VALUE(LEFT(TRIM(I151),4))-VALUE(LEFT(TRIM(K151),4)))*12+VALUE(MID(TRIM(I151),6,2))-VALUE(MID(TRIM(K151),6,2)),""))</f>
        <v>8</v>
      </c>
      <c r="M151" s="2" t="str">
        <f>IF(TRIM(H151)="","",IFERROR(LOOKUP(2,1/(ISNUMBER(SEARCH('منطق دسته‌بندی'!$A$2:$A$187,H151))),'منطق دسته‌بندی'!$B$2:$B$187),"سایر (نیازمند بررسی دستی)"))</f>
        <v>تنظیم - تنظیمات دستگاه/دیسپلی (تعمیر)</v>
      </c>
      <c r="N151" s="2" t="s">
        <v>24</v>
      </c>
      <c r="O151" s="2" t="str" cm="1">
        <f t="array" ref="O151">IF(A151="","",IF(SUMPRODUCT(($B$2:$B$965=B151)*($C$2:$C$965=C151)*($D$2:$D$965=D151)*($E$2:$E$965=E151)*($F$2:$F$965=F151)*($G$2:$G$965=G151)*($H$2:$H$965=H151)*($I$2:$I$965=I151)*($J$2:$J$965=J151)*($K$2:$K$965=K151)*($N$2:$N$965=N151))=1,"خیر",IF(SUMPRODUCT(($B$2:B151=B151)*($C$2:C151=C151)*($D$2:D151=D151)*($E$2:E151=E151)*($F$2:F151=F151)*($G$2:G151=G151)*($H$2:H151=H151)*($I$2:I151=I151)*($J$2:J151=J151)*($K$2:K151=K151)*($N$2:N151=N151))=1,"بله-1","بله")))</f>
        <v>خیر</v>
      </c>
      <c r="P151" s="5" t="str" cm="1">
        <f t="array" ref="P151">IF(A151="","",IF(SUMPRODUCT(($F$2:$F$969=F151)*($I$2:$I$969=I151))=1,"خیر",IF(SUMPRODUCT(($F$2:F151=F151)*($I$2:I151=I151))=1,"بله-1","بله")))</f>
        <v>خیر</v>
      </c>
    </row>
    <row r="152" spans="1:16" ht="18.75" x14ac:dyDescent="0.25">
      <c r="A152" s="2" t="s">
        <v>355</v>
      </c>
      <c r="B152" s="2" t="s">
        <v>16</v>
      </c>
      <c r="C152" s="2" t="s">
        <v>17</v>
      </c>
      <c r="D152" s="2" t="s">
        <v>42</v>
      </c>
      <c r="E152" s="2" t="s">
        <v>43</v>
      </c>
      <c r="F152" s="2" t="s">
        <v>346</v>
      </c>
      <c r="G152" s="2" t="s">
        <v>347</v>
      </c>
      <c r="H152" s="2" t="s">
        <v>356</v>
      </c>
      <c r="I152" s="2" t="s">
        <v>159</v>
      </c>
      <c r="J152" s="2" t="s">
        <v>349</v>
      </c>
      <c r="K152" s="2" t="s">
        <v>309</v>
      </c>
      <c r="L152" s="3">
        <f>IF(OR(TRIM(I152)="",TRIM(K152)=""),"",IFERROR((VALUE(LEFT(TRIM(I152),4))-VALUE(LEFT(TRIM(K152),4)))*12+VALUE(MID(TRIM(I152),6,2))-VALUE(MID(TRIM(K152),6,2)),""))</f>
        <v>0</v>
      </c>
      <c r="M152" s="2" t="str">
        <f>IF(TRIM(H152)="","",IFERROR(LOOKUP(2,1/(ISNUMBER(SEARCH('منطق دسته‌بندی'!$A$2:$A$187,H152))),'منطق دسته‌بندی'!$B$2:$B$187),"سایر (نیازمند بررسی دستی)"))</f>
        <v>نشتی - شیلنگ (تعمیر/آب‌بندی)</v>
      </c>
      <c r="N152" s="2" t="s">
        <v>24</v>
      </c>
      <c r="O152" s="2" t="str" cm="1">
        <f t="array" ref="O152">IF(A152="","",IF(SUMPRODUCT(($B$2:$B$965=B152)*($C$2:$C$965=C152)*($D$2:$D$965=D152)*($E$2:$E$965=E152)*($F$2:$F$965=F152)*($G$2:$G$965=G152)*($H$2:$H$965=H152)*($I$2:$I$965=I152)*($J$2:$J$965=J152)*($K$2:$K$965=K152)*($N$2:$N$965=N152))=1,"خیر",IF(SUMPRODUCT(($B$2:B152=B152)*($C$2:C152=C152)*($D$2:D152=D152)*($E$2:E152=E152)*($F$2:F152=F152)*($G$2:G152=G152)*($H$2:H152=H152)*($I$2:I152=I152)*($J$2:J152=J152)*($K$2:K152=K152)*($N$2:N152=N152))=1,"بله-1","بله")))</f>
        <v>خیر</v>
      </c>
      <c r="P152" s="5" t="str" cm="1">
        <f t="array" ref="P152">IF(A152="","",IF(SUMPRODUCT(($F$2:$F$969=F152)*($I$2:$I$969=I152))=1,"خیر",IF(SUMPRODUCT(($F$2:F152=F152)*($I$2:I152=I152))=1,"بله-1","بله")))</f>
        <v>خیر</v>
      </c>
    </row>
    <row r="153" spans="1:16" ht="18.75" x14ac:dyDescent="0.25">
      <c r="A153" s="2" t="s">
        <v>344</v>
      </c>
      <c r="B153" s="2" t="s">
        <v>16</v>
      </c>
      <c r="C153" s="2" t="s">
        <v>17</v>
      </c>
      <c r="D153" s="2" t="s">
        <v>42</v>
      </c>
      <c r="E153" s="2" t="s">
        <v>43</v>
      </c>
      <c r="F153" s="2" t="s">
        <v>345</v>
      </c>
      <c r="G153" s="2" t="s">
        <v>148</v>
      </c>
      <c r="H153" s="2" t="s">
        <v>275</v>
      </c>
      <c r="I153" s="2" t="s">
        <v>159</v>
      </c>
      <c r="J153" s="2" t="s">
        <v>195</v>
      </c>
      <c r="K153" s="2" t="s">
        <v>97</v>
      </c>
      <c r="L153" s="3">
        <f>IF(OR(TRIM(I153)="",TRIM(K153)=""),"",IFERROR((VALUE(LEFT(TRIM(I153),4))-VALUE(LEFT(TRIM(K153),4)))*12+VALUE(MID(TRIM(I153),6,2))-VALUE(MID(TRIM(K153),6,2)),""))</f>
        <v>2</v>
      </c>
      <c r="M153" s="2" t="str">
        <f>IF(TRIM(H153)="","",IFERROR(LOOKUP(2,1/(ISNUMBER(SEARCH('منطق دسته‌بندی'!$A$2:$A$187,H153))),'منطق دسته‌بندی'!$B$2:$B$187),"سایر (نیازمند بررسی دستی)"))</f>
        <v>خرابی - واترجت (تعویض)</v>
      </c>
      <c r="N153" s="2" t="s">
        <v>279</v>
      </c>
      <c r="O153" s="2" t="str" cm="1">
        <f t="array" ref="O153">IF(A153="","",IF(SUMPRODUCT(($B$2:$B$965=B153)*($C$2:$C$965=C153)*($D$2:$D$965=D153)*($E$2:$E$965=E153)*($F$2:$F$965=F153)*($G$2:$G$965=G153)*($H$2:$H$965=H153)*($I$2:$I$965=I153)*($J$2:$J$965=J153)*($K$2:$K$965=K153)*($N$2:$N$965=N153))=1,"خیر",IF(SUMPRODUCT(($B$2:B153=B153)*($C$2:C153=C153)*($D$2:D153=D153)*($E$2:E153=E153)*($F$2:F153=F153)*($G$2:G153=G153)*($H$2:H153=H153)*($I$2:I153=I153)*($J$2:J153=J153)*($K$2:K153=K153)*($N$2:N153=N153))=1,"بله-1","بله")))</f>
        <v>خیر</v>
      </c>
      <c r="P153" s="5" t="str" cm="1">
        <f t="array" ref="P153">IF(A153="","",IF(SUMPRODUCT(($F$2:$F$969=F153)*($I$2:$I$969=I153))=1,"خیر",IF(SUMPRODUCT(($F$2:F153=F153)*($I$2:I153=I153))=1,"بله-1","بله")))</f>
        <v>خیر</v>
      </c>
    </row>
    <row r="154" spans="1:16" ht="18.75" x14ac:dyDescent="0.25">
      <c r="A154" s="2" t="s">
        <v>341</v>
      </c>
      <c r="B154" s="2" t="s">
        <v>16</v>
      </c>
      <c r="C154" s="2" t="s">
        <v>17</v>
      </c>
      <c r="D154" s="2" t="s">
        <v>42</v>
      </c>
      <c r="E154" s="2" t="s">
        <v>43</v>
      </c>
      <c r="F154" s="2" t="s">
        <v>342</v>
      </c>
      <c r="G154" s="2" t="s">
        <v>73</v>
      </c>
      <c r="H154" s="2" t="s">
        <v>333</v>
      </c>
      <c r="I154" s="2" t="s">
        <v>309</v>
      </c>
      <c r="J154" s="2" t="s">
        <v>195</v>
      </c>
      <c r="K154" s="2" t="s">
        <v>343</v>
      </c>
      <c r="L154" s="3">
        <f>IF(OR(TRIM(I154)="",TRIM(K154)=""),"",IFERROR((VALUE(LEFT(TRIM(I154),4))-VALUE(LEFT(TRIM(K154),4)))*12+VALUE(MID(TRIM(I154),6,2))-VALUE(MID(TRIM(K154),6,2)),""))</f>
        <v>3</v>
      </c>
      <c r="M154" s="2" t="str">
        <f>IF(TRIM(H154)="","",IFERROR(LOOKUP(2,1/(ISNUMBER(SEARCH('منطق دسته‌بندی'!$A$2:$A$187,H154))),'منطق دسته‌بندی'!$B$2:$B$187),"سایر (نیازمند بررسی دستی)"))</f>
        <v>ریست نرم‌افزاری (بدون قطعه)</v>
      </c>
      <c r="N154" s="2" t="s">
        <v>24</v>
      </c>
      <c r="O154" s="2" t="str" cm="1">
        <f t="array" ref="O154">IF(A154="","",IF(SUMPRODUCT(($B$2:$B$965=B154)*($C$2:$C$965=C154)*($D$2:$D$965=D154)*($E$2:$E$965=E154)*($F$2:$F$965=F154)*($G$2:$G$965=G154)*($H$2:$H$965=H154)*($I$2:$I$965=I154)*($J$2:$J$965=J154)*($K$2:$K$965=K154)*($N$2:$N$965=N154))=1,"خیر",IF(SUMPRODUCT(($B$2:B154=B154)*($C$2:C154=C154)*($D$2:D154=D154)*($E$2:E154=E154)*($F$2:F154=F154)*($G$2:G154=G154)*($H$2:H154=H154)*($I$2:I154=I154)*($J$2:J154=J154)*($K$2:K154=K154)*($N$2:N154=N154))=1,"بله-1","بله")))</f>
        <v>خیر</v>
      </c>
      <c r="P154" s="5" t="str" cm="1">
        <f t="array" ref="P154">IF(A154="","",IF(SUMPRODUCT(($F$2:$F$969=F154)*($I$2:$I$969=I154))=1,"خیر",IF(SUMPRODUCT(($F$2:F154=F154)*($I$2:I154=I154))=1,"بله-1","بله")))</f>
        <v>خیر</v>
      </c>
    </row>
    <row r="155" spans="1:16" s="14" customFormat="1" ht="18.75" x14ac:dyDescent="0.25">
      <c r="A155" s="11" t="s">
        <v>192</v>
      </c>
      <c r="B155" s="11" t="s">
        <v>16</v>
      </c>
      <c r="C155" s="11" t="s">
        <v>17</v>
      </c>
      <c r="D155" s="11" t="s">
        <v>42</v>
      </c>
      <c r="E155" s="11" t="s">
        <v>43</v>
      </c>
      <c r="F155" s="11" t="s">
        <v>193</v>
      </c>
      <c r="G155" s="11" t="s">
        <v>194</v>
      </c>
      <c r="H155" s="11" t="s">
        <v>162</v>
      </c>
      <c r="I155" s="11" t="s">
        <v>47</v>
      </c>
      <c r="J155" s="11" t="s">
        <v>195</v>
      </c>
      <c r="K155" s="11" t="s">
        <v>196</v>
      </c>
      <c r="L155" s="13">
        <f>IF(OR(TRIM(I155)="",TRIM(K155)=""),"",IFERROR((VALUE(LEFT(TRIM(I155),4))-VALUE(LEFT(TRIM(K155),4)))*12+VALUE(MID(TRIM(I155),6,2))-VALUE(MID(TRIM(K155),6,2)),""))</f>
        <v>4</v>
      </c>
      <c r="M155" s="11" t="str">
        <f>IF(TRIM(H155)="","",IFERROR(LOOKUP(2,1/(ISNUMBER(SEARCH('منطق دسته‌بندی'!$A$2:$A$187,H155))),'منطق دسته‌بندی'!$B$2:$B$187),"سایر (نیازمند بررسی دستی)"))</f>
        <v>خرابی - پمپ تخلیه (تعویض)</v>
      </c>
      <c r="N155" s="2" t="s">
        <v>164</v>
      </c>
      <c r="O155" s="11" t="str" cm="1">
        <f t="array" ref="O155">IF(A155="","",IF(SUMPRODUCT(($B$2:$B$965=B155)*($C$2:$C$965=C155)*($D$2:$D$965=D155)*($E$2:$E$965=E155)*($F$2:$F$965=F155)*($G$2:$G$965=G155)*($H$2:$H$965=H155)*($I$2:$I$965=I155)*($J$2:$J$965=J155)*($K$2:$K$965=K155)*($N$2:$N$965=N155))=1,"خیر",IF(SUMPRODUCT(($B$2:B155=B155)*($C$2:C155=C155)*($D$2:D155=D155)*($E$2:E155=E155)*($F$2:F155=F155)*($G$2:G155=G155)*($H$2:H155=H155)*($I$2:I155=I155)*($J$2:J155=J155)*($K$2:K155=K155)*($N$2:N155=N155))=1,"بله-1","بله")))</f>
        <v>خیر</v>
      </c>
      <c r="P155" s="11" t="str" cm="1">
        <f t="array" ref="P155">IF(A155="","",IF(SUMPRODUCT(($F$2:$F$969=F155)*($I$2:$I$969=I155))=1,"خیر",IF(SUMPRODUCT(($F$2:F155=F155)*($I$2:I155=I155))=1,"بله-1","بله")))</f>
        <v>خیر</v>
      </c>
    </row>
    <row r="156" spans="1:16" ht="18.75" x14ac:dyDescent="0.25">
      <c r="A156" s="2">
        <v>310011630</v>
      </c>
      <c r="B156" s="2" t="s">
        <v>1950</v>
      </c>
      <c r="C156" s="2" t="s">
        <v>1951</v>
      </c>
      <c r="D156" s="2" t="s">
        <v>2019</v>
      </c>
      <c r="E156" s="2" t="s">
        <v>43</v>
      </c>
      <c r="F156" s="2" t="s">
        <v>1956</v>
      </c>
      <c r="G156" s="2" t="s">
        <v>1975</v>
      </c>
      <c r="H156" s="18" t="s">
        <v>221</v>
      </c>
      <c r="I156" s="2" t="s">
        <v>1997</v>
      </c>
      <c r="J156" s="2" t="s">
        <v>736</v>
      </c>
      <c r="K156" s="2" t="s">
        <v>2008</v>
      </c>
      <c r="L156" s="3">
        <f>IF(OR(TRIM(I156)="",TRIM(K156)=""),"",IFERROR((VALUE(LEFT(TRIM(I156),4))-VALUE(LEFT(TRIM(K156),4)))*12+VALUE(MID(TRIM(I156),6,2))-VALUE(MID(TRIM(K156),6,2)),""))</f>
        <v>9</v>
      </c>
      <c r="M156" s="2" t="str">
        <f>IF(TRIM(H156)="","",IFERROR(LOOKUP(2,1/(ISNUMBER(SEARCH('منطق دسته‌بندی'!$A$2:$A$187,H156))),'منطق دسته‌بندی'!$B$2:$B$187),"سایر (نیازمند بررسی دستی)"))</f>
        <v>نشتی - پمپ تخلیه (تعمیر/آب‌بندی)</v>
      </c>
      <c r="N156" s="2" t="s">
        <v>2025</v>
      </c>
      <c r="O156" s="2" t="str" cm="1">
        <f t="array" ref="O156">IF(A156="","",IF(SUMPRODUCT(($B$2:$B$965=B156)*($C$2:$C$965=C156)*($D$2:$D$965=D156)*($E$2:$E$965=E156)*($F$2:$F$965=F156)*($G$2:$G$965=G156)*($H$2:$H$965=H156)*($I$2:$I$965=I156)*($J$2:$J$965=J156)*($K$2:$K$965=K156)*($N$2:$N$965=N156))=1,"خیر",IF(SUMPRODUCT(($B$2:B156=B156)*($C$2:C156=C156)*($D$2:D156=D156)*($E$2:E156=E156)*($F$2:F156=F156)*($G$2:G156=G156)*($H$2:H156=H156)*($I$2:I156=I156)*($J$2:J156=J156)*($K$2:K156=K156)*($N$2:N156=N156))=1,"بله-1","بله")))</f>
        <v>خیر</v>
      </c>
      <c r="P156" s="5" t="str" cm="1">
        <f t="array" ref="P156">IF(A156="","",IF(SUMPRODUCT(($F$2:$F$969=F156)*($I$2:$I$969=I156))=1,"خیر",IF(SUMPRODUCT(($F$2:F156=F156)*($I$2:I156=I156))=1,"بله-1","بله")))</f>
        <v>خیر</v>
      </c>
    </row>
    <row r="157" spans="1:16" ht="37.5" x14ac:dyDescent="0.25">
      <c r="A157" s="2" t="s">
        <v>734</v>
      </c>
      <c r="B157" s="2" t="s">
        <v>632</v>
      </c>
      <c r="C157" s="2" t="s">
        <v>633</v>
      </c>
      <c r="D157" s="2" t="s">
        <v>42</v>
      </c>
      <c r="E157" s="2" t="s">
        <v>43</v>
      </c>
      <c r="F157" s="2" t="s">
        <v>735</v>
      </c>
      <c r="G157" s="2" t="s">
        <v>608</v>
      </c>
      <c r="H157" s="2" t="s">
        <v>68</v>
      </c>
      <c r="I157" s="2" t="s">
        <v>572</v>
      </c>
      <c r="J157" s="2" t="s">
        <v>736</v>
      </c>
      <c r="K157" s="2" t="s">
        <v>737</v>
      </c>
      <c r="L157" s="3">
        <f>IF(OR(TRIM(I157)="",TRIM(K157)=""),"",IFERROR((VALUE(LEFT(TRIM(I157),4))-VALUE(LEFT(TRIM(K157),4)))*12+VALUE(MID(TRIM(I157),6,2))-VALUE(MID(TRIM(K157),6,2)),""))</f>
        <v>0</v>
      </c>
      <c r="M157" s="2" t="str">
        <f>IF(TRIM(H157)="","",IFERROR(LOOKUP(2,1/(ISNUMBER(SEARCH('منطق دسته‌بندی'!$A$2:$A$187,H157))),'منطق دسته‌بندی'!$B$2:$B$187),"سایر (نیازمند بررسی دستی)"))</f>
        <v>مکانیزم درب - میکروسوئیچ/قلاب (تعویض/تنظیم)</v>
      </c>
      <c r="N157" s="2" t="s">
        <v>75</v>
      </c>
      <c r="O157" s="2" t="str" cm="1">
        <f t="array" ref="O157">IF(A157="","",IF(SUMPRODUCT(($B$2:$B$965=B157)*($C$2:$C$965=C157)*($D$2:$D$965=D157)*($E$2:$E$965=E157)*($F$2:$F$965=F157)*($G$2:$G$965=G157)*($H$2:$H$965=H157)*($I$2:$I$965=I157)*($J$2:$J$965=J157)*($K$2:$K$965=K157)*($N$2:$N$965=N157))=1,"خیر",IF(SUMPRODUCT(($B$2:B157=B157)*($C$2:C157=C157)*($D$2:D157=D157)*($E$2:E157=E157)*($F$2:F157=F157)*($G$2:G157=G157)*($H$2:H157=H157)*($I$2:I157=I157)*($J$2:J157=J157)*($K$2:K157=K157)*($N$2:N157=N157))=1,"بله-1","بله")))</f>
        <v>خیر</v>
      </c>
      <c r="P157" s="5" t="str" cm="1">
        <f t="array" ref="P157">IF(A157="","",IF(SUMPRODUCT(($F$2:$F$969=F157)*($I$2:$I$969=I157))=1,"خیر",IF(SUMPRODUCT(($F$2:F157=F157)*($I$2:I157=I157))=1,"بله-1","بله")))</f>
        <v>خیر</v>
      </c>
    </row>
    <row r="158" spans="1:16" ht="18.75" x14ac:dyDescent="0.25">
      <c r="A158" s="2">
        <v>130012379</v>
      </c>
      <c r="B158" s="2" t="s">
        <v>1950</v>
      </c>
      <c r="C158" s="2" t="s">
        <v>1951</v>
      </c>
      <c r="D158" s="2" t="s">
        <v>2019</v>
      </c>
      <c r="E158" s="2" t="s">
        <v>43</v>
      </c>
      <c r="F158" s="2" t="s">
        <v>1968</v>
      </c>
      <c r="G158" s="2" t="s">
        <v>1983</v>
      </c>
      <c r="H158" s="2" t="s">
        <v>1428</v>
      </c>
      <c r="I158" s="2" t="s">
        <v>1994</v>
      </c>
      <c r="J158" s="2" t="s">
        <v>664</v>
      </c>
      <c r="K158" s="2" t="s">
        <v>359</v>
      </c>
      <c r="L158" s="3">
        <f>IF(OR(TRIM(I158)="",TRIM(K158)=""),"",IFERROR((VALUE(LEFT(TRIM(I158),4))-VALUE(LEFT(TRIM(K158),4)))*12+VALUE(MID(TRIM(I158),6,2))-VALUE(MID(TRIM(K158),6,2)),""))</f>
        <v>8</v>
      </c>
      <c r="M158" s="2" t="str">
        <f>IF(OR(ISNUMBER(SEARCH("بدون مورد",H158)),ISNUMBER(SEARCH("غير گارانتي",H158)),ISNUMBER(SEARCH("غیر گارانتی",H158)),ISNUMBER(SEARCH("بدون اجرت",H158)),ISNUMBER(SEARCH("فيلتر",H158)),ISNUMBER(SEARCH("فیلتر",H158))),"غیرگارانتی/بدون قطعه",IF(OR(ISNUMBER(SEARCH("ريست",H158)),ISNUMBER(SEARCH("ریست",H158))),"ریست نرم‌افزاری (بدون قطعه)",IF(OR(ISNUMBER(SEARCH("تعویض محصول",H158)),ISNUMBER(SEARCH("تعویض دستگاه",H158))),"تعویض کامل دستگاه (Replacement)",IF(ISNUMBER(SEARCH("پمپ",H158)),IF(ISNUMBER(SEARCH("نشت",H158)),"نشتی - پمپ تخلیه (تعمیر/آب‌بندی)","خرابی - پمپ تخلیه (تعویض)"),IF(ISNUMBER(SEARCH("کمپرسور",H158)),"خرابی - کمپرسور (تعویض)",IF(ISNUMBER(SEARCH("کمک فنر",H158)),"خرابی - کمک فنر (تعویض)",IF(ISNUMBER(SEARCH("لولا",H158)),"مکانیزم درب - لولا (تعویض)",IF(OR(ISNUMBER(SEARCH("قلاب",H158)),ISNUMBER(SEARCH("ميکروسوئيچ",H158)),ISNUMBER(SEARCH("میکروسوئیچ",H158))),"مکانیزم درب - میکروسوئیچ/قلاب (تعویض/تنظیم)",IF(ISNUMBER(SEARCH("زبانه",H158)),"مکانیزم درب - زبانه (تعویض)",IF(OR(ISNUMBER(SEARCH("شيلنگ",H158)),ISNUMBER(SEARCH("شیلنگ",H158))),IF(OR(ISNUMBER(SEARCH("نشتی",H158)),ISNUMBER(SEARCH("نشتي",H158))),"نشتی - شیلنگ (تعمیر/آب‌بندی)",IF(OR(ISNUMBER(SEARCH("يخ",H158)),ISNUMBER(SEARCH("یخ",H158))),"شیلنگ یخساز - یخ‌زدگی (بازبینی)","شیلنگ - برخورد/لهیدگی (بازبینی)")),IF(OR(ISNUMBER(SEARCH("تنظيم ديسپل",H158)),ISNUMBER(SEARCH("تنظیم دیسپل",H158)),ISNUMBER(SEARCH("تنظيم صفحه نمايش",H158)),ISNUMBER(SEARCH("تنظیم صفحه نمایش",H158))),"تنظیم - تنظیمات دستگاه/دیسپلی (تعمیر)",IF(OR(ISNUMBER(SEARCH("برد",H158)),ISNUMBER(SEARCH("سوکت",H158)),ISNUMBER(SEARCH("ديسپل",H158)),ISNUMBER(SEARCH("دیسپل",H158))),"خرابی - برد الکترونیک (تعویض)",IF(OR(ISNUMBER(SEARCH("يخساز",H158)),ISNUMBER(SEARCH("یخساز",H158)),ISNUMBER(SEARCH("دمپر",H158))),IF(OR(ISNUMBER(SEARCH("خرابی",H158)),ISNUMBER(SEARCH("خراب",H158)),ISNUMBER(SEARCH("عدم کارکرد",H158)),ISNUMBER(SEARCH("عدم عملکرد",H158))),"یخساز - خرابی موتور/سنسور/برد (تعویض)","یخساز - تنظیم/عایق (تعمیر)"),IF(OR(ISNUMBER(SEARCH("لاستيک",H158)),ISNUMBER(SEARCH("لاستیک",H158))),"لاستیک درزگیر - دفرمگی/پارگی (تعویض)",IF(OR(ISNUMBER(SEARCH("گسکت",H158)),ISNUMBER(SEARCH("گسگت",H158))),"لاستیک درزگیر - دفرمگی/پارگی (تعویض)",IF(ISNUMBER(SEARCH("مخزن نمک",H158)),"نشتی - درب مخزن نمک (تعمیر/آب‌بندی)",IF(ISNUMBER(SEARCH("براکت",H158)),"نشتی - براکت ریل (تعمیر/آب‌بندی)",IF(ISNUMBER(SEARCH("جاپودر",H158)),"نشتی - جاپودری (تعمیر/آب‌بندی)",IF(ISNUMBER(SEARCH("مقسم",H158)),"نشتی - مقسم آب (تعمیر/آب‌بندی)",IF(OR(ISNUMBER(SEARCH("سنسور دما",H158)),ISNUMBER(SEARCH("ترموستات",H158))),"خرابی - ترموستات (تعویض)",IF(OR(ISNUMBER(SEARCH("هيدروستات",H158)),ISNUMBER(SEARCH("هیدروستات",H158))),"خرابی - هیدروستات (تعویض)",IF(OR(ISNUMBER(SEARCH("بلبرينگ",H158)),ISNUMBER(SEARCH("بلبرینگ",H158))),"خرابی - بلبرینگ (تعویض)",IF(OR(ISNUMBER(SEARCH("شيربرق",H158)),ISNUMBER(SEARCH("شیربرق",H158))),"خرابی - شیربرقی (تعویض)",IF(OR(ISNUMBER(SEARCH("واتر جت",H158)),ISNUMBER(SEARCH("واترجت",H158))),"خرابی - واترجت (تعویض)",IF(OR(ISNUMBER(SEARCH("سيم",H158)),ISNUMBER(SEARCH("سیم",H158)),ISNUMBER(SEARCH("اتصال",H158))),"سیم‌کشی/اتصالات (تعویض/بازبینی)",IF(OR(ISNUMBER(SEARCH("تصوير",H158)),ISNUMBER(SEARCH("تصویر",H158))),"برد نمایش تلویزیون (تعویض)",IF(OR(ISNUMBER(SEARCH("ريموت",H158)),ISNUMBER(SEARCH("ریموت",H158))),"ریموت کنترل (تعویض/تعمیر)",IF(OR(ISNUMBER(SEARCH("ال اي دي",H158)),ISNUMBER(SEARCH("ال ای دی",H158)),ISNUMBER(SEARCH("LED",H158))),"خرابی - لامپ/LED داخلی (تعویض)",IF(ISNUMBER(SEARCH("زنگ زدگ",H158)),"زنگ‌زدگی بدنه/قطعه (تعویض)",IF(OR(ISNUMBER(SEARCH("قطعات تزئين",H158)),ISNUMBER(SEARCH("قطعات تزئین",H158))),"قطعات تزئینی - شکستگی/کسری (تعویض)",IF(ISNUMBER(SEARCH("سبد",H158)),"سبد ظرفشویی - شکستگی (تعویض)",IF(ISNUMBER(SEARCH("تاب درام",H158)),"خرابی - تاب برداشتن درام (تعویض)",IF(ISNUMBER(SEARCH("درام",H158)),"خرابی - سایر ایراد درام (تعویض)",IF(ISNUMBER(SEARCH("موتور",H158)),"خرابی - موتور (تعویض)",IF(ISNUMBER(SEARCH("تسمه",H158)),"خرابی - تسمه (تعویض)",IF(OR(ISNUMBER(SEARCH("پيچ ولوم",H158)),ISNUMBER(SEARCH("پیچ ولوم",H158))),"تنظیم - پیچ ولوم/دکمه (تعمیر)",IF(OR(ISNUMBER(SEARCH("کسري قطعات",H158)),ISNUMBER(SEARCH("کسری قطعات",H158))),"کسری قطعات تزئینی (تعویض)",IF(ISNUMBER(SEARCH("پرچ",H158)),"پرچ/بدنه کابین(تعمیر)",IF(OR(ISNUMBER(SEARCH("نشت",H158)),ISNUMBER(SEARCH("آبريزش",H158)),ISNUMBER(SEARCH("آبریزش",H158))),"نشتی آب - محل نامشخص (نیازمند بازدید)",IF(ISNUMBER(SEARCH("درب",H158)),"سایر اجزای درب (بازبینی)",IF(ISNUMBER(SEARCH("ضربه",H158)),"بدنه/کابین - ضربه (بازبینی/تعویض پنل)",IF(ISNUMBER(SEARCH("تراز",H158)),"تراز/لرزش - نصب (رگلاژ پایه)",IF(OR(ISNUMBER(SEARCH("تعویض",H158)),ISNUMBER(SEARCH("تعويض",H158))),"تعویض کامل دستگاه (Replacement)","سایر (نیازمند بررسی دستی)")))))))))))))))))))))))))))))))))))))))))))</f>
        <v>شیلنگ - برخورد/لهیدگی (بازبینی)</v>
      </c>
      <c r="N158" s="2" t="s">
        <v>1381</v>
      </c>
      <c r="O158" s="2" t="str" cm="1">
        <f t="array" ref="O158">IF(A158="","",IF(SUMPRODUCT(($B$2:$B$965=B158)*($C$2:$C$965=C158)*($D$2:$D$965=D158)*($E$2:$E$965=E158)*($F$2:$F$965=F158)*($G$2:$G$965=G158)*($H$2:$H$965=H158)*($I$2:$I$965=I158)*($J$2:$J$965=J158)*($K$2:$K$965=K158)*($N$2:$N$965=N158))=1,"خیر",IF(SUMPRODUCT(($B$2:B158=B158)*($C$2:C158=C158)*($D$2:D158=D158)*($E$2:E158=E158)*($F$2:F158=F158)*($G$2:G158=G158)*($H$2:H158=H158)*($I$2:I158=I158)*($J$2:J158=J158)*($K$2:K158=K158)*($N$2:N158=N158))=1,"بله-1","بله")))</f>
        <v>خیر</v>
      </c>
      <c r="P158" s="5" t="str" cm="1">
        <f t="array" ref="P158">IF(A158="","",IF(SUMPRODUCT(($F$2:$F$969=F158)*($I$2:$I$969=I158))=1,"خیر",IF(SUMPRODUCT(($F$2:F158=F158)*($I$2:I158=I158))=1,"بله-1","بله")))</f>
        <v>خیر</v>
      </c>
    </row>
    <row r="159" spans="1:16" ht="18.75" x14ac:dyDescent="0.25">
      <c r="A159" s="2" t="s">
        <v>767</v>
      </c>
      <c r="B159" s="2" t="s">
        <v>632</v>
      </c>
      <c r="C159" s="2" t="s">
        <v>633</v>
      </c>
      <c r="D159" s="2" t="s">
        <v>42</v>
      </c>
      <c r="E159" s="2" t="s">
        <v>43</v>
      </c>
      <c r="F159" s="2" t="s">
        <v>768</v>
      </c>
      <c r="G159" s="2" t="s">
        <v>769</v>
      </c>
      <c r="H159" s="2" t="s">
        <v>487</v>
      </c>
      <c r="I159" s="2" t="s">
        <v>761</v>
      </c>
      <c r="J159" s="2" t="s">
        <v>141</v>
      </c>
      <c r="K159" s="2" t="s">
        <v>770</v>
      </c>
      <c r="L159" s="3">
        <f>IF(OR(TRIM(I159)="",TRIM(K159)=""),"",IFERROR((VALUE(LEFT(TRIM(I159),4))-VALUE(LEFT(TRIM(K159),4)))*12+VALUE(MID(TRIM(I159),6,2))-VALUE(MID(TRIM(K159),6,2)),""))</f>
        <v>3</v>
      </c>
      <c r="M159" s="2" t="str">
        <f>IF(TRIM(H159)="","",IFERROR(LOOKUP(2,1/(ISNUMBER(SEARCH('منطق دسته‌بندی'!$A$2:$A$187,H159))),'منطق دسته‌بندی'!$B$2:$B$187),"سایر (نیازمند بررسی دستی)"))</f>
        <v>نشتی - شیلنگ (تعمیر/آب‌بندی)</v>
      </c>
      <c r="N159" s="2" t="s">
        <v>24</v>
      </c>
      <c r="O159" s="2" t="str" cm="1">
        <f t="array" ref="O159">IF(A159="","",IF(SUMPRODUCT(($B$2:$B$965=B159)*($C$2:$C$965=C159)*($D$2:$D$965=D159)*($E$2:$E$965=E159)*($F$2:$F$965=F159)*($G$2:$G$965=G159)*($H$2:$H$965=H159)*($I$2:$I$965=I159)*($J$2:$J$965=J159)*($K$2:$K$965=K159)*($N$2:$N$965=N159))=1,"خیر",IF(SUMPRODUCT(($B$2:B159=B159)*($C$2:C159=C159)*($D$2:D159=D159)*($E$2:E159=E159)*($F$2:F159=F159)*($G$2:G159=G159)*($H$2:H159=H159)*($I$2:I159=I159)*($J$2:J159=J159)*($K$2:K159=K159)*($N$2:N159=N159))=1,"بله-1","بله")))</f>
        <v>خیر</v>
      </c>
      <c r="P159" s="5" t="str" cm="1">
        <f t="array" ref="P159">IF(A159="","",IF(SUMPRODUCT(($F$2:$F$969=F159)*($I$2:$I$969=I159))=1,"خیر",IF(SUMPRODUCT(($F$2:F159=F159)*($I$2:I159=I159))=1,"بله-1","بله")))</f>
        <v>خیر</v>
      </c>
    </row>
    <row r="160" spans="1:16" ht="18.75" x14ac:dyDescent="0.25">
      <c r="A160" s="2" t="s">
        <v>1299</v>
      </c>
      <c r="B160" s="2" t="s">
        <v>1040</v>
      </c>
      <c r="C160" s="2" t="s">
        <v>1041</v>
      </c>
      <c r="D160" s="2" t="s">
        <v>42</v>
      </c>
      <c r="E160" s="2" t="s">
        <v>1057</v>
      </c>
      <c r="F160" s="2" t="s">
        <v>1300</v>
      </c>
      <c r="G160" s="2" t="s">
        <v>608</v>
      </c>
      <c r="H160" s="18" t="s">
        <v>1891</v>
      </c>
      <c r="I160" s="2" t="s">
        <v>1301</v>
      </c>
      <c r="J160" s="2" t="s">
        <v>141</v>
      </c>
      <c r="K160" s="2" t="s">
        <v>343</v>
      </c>
      <c r="L160" s="3">
        <f>IF(OR(TRIM(I160)="",TRIM(K160)=""),"",IFERROR((VALUE(LEFT(TRIM(I160),4))-VALUE(LEFT(TRIM(K160),4)))*12+VALUE(MID(TRIM(I160),6,2))-VALUE(MID(TRIM(K160),6,2)),""))</f>
        <v>7</v>
      </c>
      <c r="M160" s="2" t="str">
        <f>IF(TRIM(H160)="","",IFERROR(LOOKUP(2,1/(ISNUMBER(SEARCH('منطق دسته‌بندی'!$A$2:$A$187,H160))),'منطق دسته‌بندی'!$B$2:$B$187),"سایر (نیازمند بررسی دستی)"))</f>
        <v>تنظیم - تنظیمات دستگاه/دیسپلی (تعمیر)</v>
      </c>
      <c r="N160" s="2" t="s">
        <v>24</v>
      </c>
      <c r="O160" s="2" t="str" cm="1">
        <f t="array" ref="O160">IF(A160="","",IF(SUMPRODUCT(($B$2:$B$965=B160)*($C$2:$C$965=C160)*($D$2:$D$965=D160)*($E$2:$E$965=E160)*($F$2:$F$965=F160)*($G$2:$G$965=G160)*($H$2:$H$965=H160)*($I$2:$I$965=I160)*($J$2:$J$965=J160)*($K$2:$K$965=K160)*($N$2:$N$965=N160))=1,"خیر",IF(SUMPRODUCT(($B$2:B160=B160)*($C$2:C160=C160)*($D$2:D160=D160)*($E$2:E160=E160)*($F$2:F160=F160)*($G$2:G160=G160)*($H$2:H160=H160)*($I$2:I160=I160)*($J$2:J160=J160)*($K$2:K160=K160)*($N$2:N160=N160))=1,"بله-1","بله")))</f>
        <v>خیر</v>
      </c>
      <c r="P160" s="5" t="str" cm="1">
        <f t="array" ref="P160">IF(A160="","",IF(SUMPRODUCT(($F$2:$F$969=F160)*($I$2:$I$969=I160))=1,"خیر",IF(SUMPRODUCT(($F$2:F160=F160)*($I$2:I160=I160))=1,"بله-1","بله")))</f>
        <v>خیر</v>
      </c>
    </row>
    <row r="161" spans="1:16" ht="18.75" x14ac:dyDescent="0.25">
      <c r="A161" s="2" t="s">
        <v>41</v>
      </c>
      <c r="B161" s="2" t="s">
        <v>16</v>
      </c>
      <c r="C161" s="2" t="s">
        <v>17</v>
      </c>
      <c r="D161" s="2" t="s">
        <v>42</v>
      </c>
      <c r="E161" s="2" t="s">
        <v>43</v>
      </c>
      <c r="F161" s="2" t="s">
        <v>44</v>
      </c>
      <c r="G161" s="2" t="s">
        <v>45</v>
      </c>
      <c r="H161" s="2" t="s">
        <v>46</v>
      </c>
      <c r="I161" s="2" t="s">
        <v>47</v>
      </c>
      <c r="J161" s="2" t="s">
        <v>48</v>
      </c>
      <c r="K161" s="2" t="s">
        <v>49</v>
      </c>
      <c r="L161" s="3">
        <f>IF(OR(TRIM(I161)="",TRIM(K161)=""),"",IFERROR((VALUE(LEFT(TRIM(I161),4))-VALUE(LEFT(TRIM(K161),4)))*12+VALUE(MID(TRIM(I161),6,2))-VALUE(MID(TRIM(K161),6,2)),""))</f>
        <v>3</v>
      </c>
      <c r="M161" s="2" t="str">
        <f>IF(TRIM(H161)="","",IFERROR(LOOKUP(2,1/(ISNUMBER(SEARCH('منطق دسته‌بندی'!$A$2:$A$187,H161))),'منطق دسته‌بندی'!$B$2:$B$187),"سایر (نیازمند بررسی دستی)"))</f>
        <v>غیرگارانتی/بدون قطعه</v>
      </c>
      <c r="N161" s="2" t="s">
        <v>24</v>
      </c>
      <c r="O161" s="2" t="str" cm="1">
        <f t="array" ref="O161">IF(A161="","",IF(SUMPRODUCT(($B$2:$B$965=B161)*($C$2:$C$965=C161)*($D$2:$D$965=D161)*($E$2:$E$965=E161)*($F$2:$F$965=F161)*($G$2:$G$965=G161)*($H$2:$H$965=H161)*($I$2:$I$965=I161)*($J$2:$J$965=J161)*($K$2:$K$965=K161)*($N$2:$N$965=N161))=1,"خیر",IF(SUMPRODUCT(($B$2:B161=B161)*($C$2:C161=C161)*($D$2:D161=D161)*($E$2:E161=E161)*($F$2:F161=F161)*($G$2:G161=G161)*($H$2:H161=H161)*($I$2:I161=I161)*($J$2:J161=J161)*($K$2:K161=K161)*($N$2:N161=N161))=1,"بله-1","بله")))</f>
        <v>خیر</v>
      </c>
      <c r="P161" s="5" t="str" cm="1">
        <f t="array" ref="P161">IF(A161="","",IF(SUMPRODUCT(($F$2:$F$969=F161)*($I$2:$I$969=I161))=1,"خیر",IF(SUMPRODUCT(($F$2:F161=F161)*($I$2:I161=I161))=1,"بله-1","بله")))</f>
        <v>خیر</v>
      </c>
    </row>
    <row r="162" spans="1:16" ht="18.75" x14ac:dyDescent="0.25">
      <c r="A162" s="2">
        <v>810006480</v>
      </c>
      <c r="B162" s="2" t="s">
        <v>1950</v>
      </c>
      <c r="C162" s="2" t="s">
        <v>1951</v>
      </c>
      <c r="D162" s="2" t="s">
        <v>42</v>
      </c>
      <c r="E162" s="15" t="s">
        <v>1057</v>
      </c>
      <c r="F162" s="2" t="s">
        <v>1645</v>
      </c>
      <c r="G162" s="2" t="s">
        <v>1646</v>
      </c>
      <c r="H162" s="2" t="s">
        <v>1647</v>
      </c>
      <c r="I162" s="2" t="s">
        <v>1648</v>
      </c>
      <c r="J162" s="2" t="s">
        <v>400</v>
      </c>
      <c r="K162" s="2"/>
      <c r="L162" s="3" t="str">
        <f>IF(OR(TRIM(I162)="",TRIM(K162)=""),"",IFERROR((VALUE(LEFT(TRIM(I162),4))-VALUE(LEFT(TRIM(K162),4)))*12+VALUE(MID(TRIM(I162),6,2))-VALUE(MID(TRIM(K162),6,2)),""))</f>
        <v/>
      </c>
      <c r="M162" s="2" t="str">
        <f>IF(TRIM(H162)="","",IFERROR(LOOKUP(2,1/(ISNUMBER(SEARCH('منطق دسته‌بندی'!$A$2:$A$187,H162))),'منطق دسته‌بندی'!$B$2:$B$187),"سایر (نیازمند بررسی دستی)"))</f>
        <v>جلوپایی/پایه (کسری/شکستگی)</v>
      </c>
      <c r="N162" s="2" t="s">
        <v>1649</v>
      </c>
      <c r="O162" s="2" t="str" cm="1">
        <f t="array" ref="O162">IF(A162="","",IF(SUMPRODUCT(($B$2:$B$965=B162)*($C$2:$C$965=C162)*($D$2:$D$965=D162)*($E$2:$E$965=E162)*($F$2:$F$965=F162)*($G$2:$G$965=G162)*($H$2:$H$965=H162)*($I$2:$I$965=I162)*($J$2:$J$965=J162)*($K$2:$K$965=K162)*($N$2:$N$965=N162))=1,"خیر",IF(SUMPRODUCT(($B$2:B162=B162)*($C$2:C162=C162)*($D$2:D162=D162)*($E$2:E162=E162)*($F$2:F162=F162)*($G$2:G162=G162)*($H$2:H162=H162)*($I$2:I162=I162)*($J$2:J162=J162)*($K$2:K162=K162)*($N$2:N162=N162))=1,"بله-1","بله")))</f>
        <v>خیر</v>
      </c>
      <c r="P162" s="5" t="str" cm="1">
        <f t="array" ref="P162">IF(A162="","",IF(SUMPRODUCT(($F$2:$F$969=F162)*($I$2:$I$969=I162))=1,"خیر",IF(SUMPRODUCT(($F$2:F162=F162)*($I$2:I162=I162))=1,"بله-1","بله")))</f>
        <v>خیر</v>
      </c>
    </row>
    <row r="163" spans="1:16" ht="37.5" x14ac:dyDescent="0.25">
      <c r="A163" s="2">
        <v>210024769</v>
      </c>
      <c r="B163" s="2" t="s">
        <v>1950</v>
      </c>
      <c r="C163" s="2" t="s">
        <v>1951</v>
      </c>
      <c r="D163" s="2" t="s">
        <v>42</v>
      </c>
      <c r="E163" s="15" t="s">
        <v>1057</v>
      </c>
      <c r="F163" s="2" t="s">
        <v>1640</v>
      </c>
      <c r="G163" s="2" t="s">
        <v>1641</v>
      </c>
      <c r="H163" s="2" t="s">
        <v>1642</v>
      </c>
      <c r="I163" s="2" t="s">
        <v>1360</v>
      </c>
      <c r="J163" s="2" t="s">
        <v>1643</v>
      </c>
      <c r="K163" s="2" t="s">
        <v>1395</v>
      </c>
      <c r="L163" s="3">
        <f>IF(OR(TRIM(I163)="",TRIM(K163)=""),"",IFERROR((VALUE(LEFT(TRIM(I163),4))-VALUE(LEFT(TRIM(K163),4)))*12+VALUE(MID(TRIM(I163),6,2))-VALUE(MID(TRIM(K163),6,2)),""))</f>
        <v>0</v>
      </c>
      <c r="M163" s="2" t="str">
        <f>IF(TRIM(H163)="","",IFERROR(LOOKUP(2,1/(ISNUMBER(SEARCH('منطق دسته‌بندی'!$A$2:$A$187,H163))),'منطق دسته‌بندی'!$B$2:$B$187),"سایر (نیازمند بررسی دستی)"))</f>
        <v>کسری مدارک/کارت گارانتی</v>
      </c>
      <c r="N163" s="2" t="s">
        <v>1644</v>
      </c>
      <c r="O163" s="2" t="str" cm="1">
        <f t="array" ref="O163">IF(A163="","",IF(SUMPRODUCT(($B$2:$B$965=B163)*($C$2:$C$965=C163)*($D$2:$D$965=D163)*($E$2:$E$965=E163)*($F$2:$F$965=F163)*($G$2:$G$965=G163)*($H$2:$H$965=H163)*($I$2:$I$965=I163)*($J$2:$J$965=J163)*($K$2:$K$965=K163)*($N$2:$N$965=N163))=1,"خیر",IF(SUMPRODUCT(($B$2:B163=B163)*($C$2:C163=C163)*($D$2:D163=D163)*($E$2:E163=E163)*($F$2:F163=F163)*($G$2:G163=G163)*($H$2:H163=H163)*($I$2:I163=I163)*($J$2:J163=J163)*($K$2:K163=K163)*($N$2:N163=N163))=1,"بله-1","بله")))</f>
        <v>خیر</v>
      </c>
      <c r="P163" s="5" t="str" cm="1">
        <f t="array" ref="P163">IF(A163="","",IF(SUMPRODUCT(($F$2:$F$969=F163)*($I$2:$I$969=I163))=1,"خیر",IF(SUMPRODUCT(($F$2:F163=F163)*($I$2:I163=I163))=1,"بله-1","بله")))</f>
        <v>خیر</v>
      </c>
    </row>
    <row r="164" spans="1:16" ht="18.75" x14ac:dyDescent="0.25">
      <c r="A164" s="2" t="s">
        <v>499</v>
      </c>
      <c r="B164" s="2" t="s">
        <v>16</v>
      </c>
      <c r="C164" s="2" t="s">
        <v>17</v>
      </c>
      <c r="D164" s="2" t="s">
        <v>42</v>
      </c>
      <c r="E164" s="2" t="s">
        <v>43</v>
      </c>
      <c r="F164" s="2" t="s">
        <v>500</v>
      </c>
      <c r="G164" s="2" t="s">
        <v>100</v>
      </c>
      <c r="H164" s="18" t="s">
        <v>221</v>
      </c>
      <c r="I164" s="2" t="s">
        <v>495</v>
      </c>
      <c r="J164" s="2" t="s">
        <v>301</v>
      </c>
      <c r="K164" s="2" t="s">
        <v>501</v>
      </c>
      <c r="L164" s="3">
        <f>IF(OR(TRIM(I164)="",TRIM(K164)=""),"",IFERROR((VALUE(LEFT(TRIM(I164),4))-VALUE(LEFT(TRIM(K164),4)))*12+VALUE(MID(TRIM(I164),6,2))-VALUE(MID(TRIM(K164),6,2)),""))</f>
        <v>5</v>
      </c>
      <c r="M164" s="2" t="str">
        <f>IF(TRIM(H164)="","",IFERROR(LOOKUP(2,1/(ISNUMBER(SEARCH('منطق دسته‌بندی'!$A$2:$A$187,H164))),'منطق دسته‌بندی'!$B$2:$B$187),"سایر (نیازمند بررسی دستی)"))</f>
        <v>نشتی - پمپ تخلیه (تعمیر/آب‌بندی)</v>
      </c>
      <c r="N164" s="2" t="s">
        <v>24</v>
      </c>
      <c r="O164" s="2" t="str" cm="1">
        <f t="array" ref="O164">IF(A164="","",IF(SUMPRODUCT(($B$2:$B$965=B164)*($C$2:$C$965=C164)*($D$2:$D$965=D164)*($E$2:$E$965=E164)*($F$2:$F$965=F164)*($G$2:$G$965=G164)*($H$2:$H$965=H164)*($I$2:$I$965=I164)*($J$2:$J$965=J164)*($K$2:$K$965=K164)*($N$2:$N$965=N164))=1,"خیر",IF(SUMPRODUCT(($B$2:B164=B164)*($C$2:C164=C164)*($D$2:D164=D164)*($E$2:E164=E164)*($F$2:F164=F164)*($G$2:G164=G164)*($H$2:H164=H164)*($I$2:I164=I164)*($J$2:J164=J164)*($K$2:K164=K164)*($N$2:N164=N164))=1,"بله-1","بله")))</f>
        <v>خیر</v>
      </c>
      <c r="P164" s="5" t="str" cm="1">
        <f t="array" ref="P164">IF(A164="","",IF(SUMPRODUCT(($F$2:$F$969=F164)*($I$2:$I$969=I164))=1,"خیر",IF(SUMPRODUCT(($F$2:F164=F164)*($I$2:I164=I164))=1,"بله-1","بله")))</f>
        <v>خیر</v>
      </c>
    </row>
    <row r="165" spans="1:16" ht="37.5" x14ac:dyDescent="0.25">
      <c r="A165" s="2" t="s">
        <v>1334</v>
      </c>
      <c r="B165" s="2" t="s">
        <v>1040</v>
      </c>
      <c r="C165" s="2" t="s">
        <v>1041</v>
      </c>
      <c r="D165" s="2" t="s">
        <v>42</v>
      </c>
      <c r="E165" s="2" t="s">
        <v>1057</v>
      </c>
      <c r="F165" s="2" t="s">
        <v>1335</v>
      </c>
      <c r="G165" s="2" t="s">
        <v>1275</v>
      </c>
      <c r="H165" s="11" t="s">
        <v>162</v>
      </c>
      <c r="I165" s="2" t="s">
        <v>1305</v>
      </c>
      <c r="J165" s="2" t="s">
        <v>301</v>
      </c>
      <c r="K165" s="2" t="s">
        <v>212</v>
      </c>
      <c r="L165" s="3">
        <f>IF(OR(TRIM(I165)="",TRIM(K165)=""),"",IFERROR((VALUE(LEFT(TRIM(I165),4))-VALUE(LEFT(TRIM(K165),4)))*12+VALUE(MID(TRIM(I165),6,2))-VALUE(MID(TRIM(K165),6,2)),""))</f>
        <v>9</v>
      </c>
      <c r="M165" s="2" t="str">
        <f>IF(TRIM(H165)="","",IFERROR(LOOKUP(2,1/(ISNUMBER(SEARCH('منطق دسته‌بندی'!$A$2:$A$187,H165))),'منطق دسته‌بندی'!$B$2:$B$187),"سایر (نیازمند بررسی دستی)"))</f>
        <v>خرابی - پمپ تخلیه (تعویض)</v>
      </c>
      <c r="N165" s="2" t="s">
        <v>164</v>
      </c>
      <c r="O165" s="2" t="str" cm="1">
        <f t="array" ref="O165">IF(A165="","",IF(SUMPRODUCT(($B$2:$B$965=B165)*($C$2:$C$965=C165)*($D$2:$D$965=D165)*($E$2:$E$965=E165)*($F$2:$F$965=F165)*($G$2:$G$965=G165)*($H$2:$H$965=H165)*($I$2:$I$965=I165)*($J$2:$J$965=J165)*($K$2:$K$965=K165)*($N$2:$N$965=N165))=1,"خیر",IF(SUMPRODUCT(($B$2:B165=B165)*($C$2:C165=C165)*($D$2:D165=D165)*($E$2:E165=E165)*($F$2:F165=F165)*($G$2:G165=G165)*($H$2:H165=H165)*($I$2:I165=I165)*($J$2:J165=J165)*($K$2:K165=K165)*($N$2:N165=N165))=1,"بله-1","بله")))</f>
        <v>خیر</v>
      </c>
      <c r="P165" s="5" t="str" cm="1">
        <f t="array" ref="P165">IF(A165="","",IF(SUMPRODUCT(($F$2:$F$969=F165)*($I$2:$I$969=I165))=1,"خیر",IF(SUMPRODUCT(($F$2:F165=F165)*($I$2:I165=I165))=1,"بله-1","بله")))</f>
        <v>خیر</v>
      </c>
    </row>
    <row r="166" spans="1:16" ht="18.75" x14ac:dyDescent="0.25">
      <c r="A166" s="2" t="s">
        <v>299</v>
      </c>
      <c r="B166" s="2" t="s">
        <v>16</v>
      </c>
      <c r="C166" s="2" t="s">
        <v>17</v>
      </c>
      <c r="D166" s="2" t="s">
        <v>42</v>
      </c>
      <c r="E166" s="2" t="s">
        <v>43</v>
      </c>
      <c r="F166" s="2" t="s">
        <v>300</v>
      </c>
      <c r="G166" s="2" t="s">
        <v>194</v>
      </c>
      <c r="H166" s="11" t="s">
        <v>162</v>
      </c>
      <c r="I166" s="2" t="s">
        <v>276</v>
      </c>
      <c r="J166" s="2" t="s">
        <v>301</v>
      </c>
      <c r="K166" s="2" t="s">
        <v>141</v>
      </c>
      <c r="L166" s="3">
        <f>IF(OR(TRIM(I166)="",TRIM(K166)=""),"",IFERROR((VALUE(LEFT(TRIM(I166),4))-VALUE(LEFT(TRIM(K166),4)))*12+VALUE(MID(TRIM(I166),6,2))-VALUE(MID(TRIM(K166),6,2)),""))</f>
        <v>5</v>
      </c>
      <c r="M166" s="2" t="str">
        <f>IF(TRIM(H166)="","",IFERROR(LOOKUP(2,1/(ISNUMBER(SEARCH('منطق دسته‌بندی'!$A$2:$A$187,H166))),'منطق دسته‌بندی'!$B$2:$B$187),"سایر (نیازمند بررسی دستی)"))</f>
        <v>خرابی - پمپ تخلیه (تعویض)</v>
      </c>
      <c r="N166" s="2" t="s">
        <v>164</v>
      </c>
      <c r="O166" s="2" t="str" cm="1">
        <f t="array" ref="O166">IF(A166="","",IF(SUMPRODUCT(($B$2:$B$965=B166)*($C$2:$C$965=C166)*($D$2:$D$965=D166)*($E$2:$E$965=E166)*($F$2:$F$965=F166)*($G$2:$G$965=G166)*($H$2:$H$965=H166)*($I$2:$I$965=I166)*($J$2:$J$965=J166)*($K$2:$K$965=K166)*($N$2:$N$965=N166))=1,"خیر",IF(SUMPRODUCT(($B$2:B166=B166)*($C$2:C166=C166)*($D$2:D166=D166)*($E$2:E166=E166)*($F$2:F166=F166)*($G$2:G166=G166)*($H$2:H166=H166)*($I$2:I166=I166)*($J$2:J166=J166)*($K$2:K166=K166)*($N$2:N166=N166))=1,"بله-1","بله")))</f>
        <v>خیر</v>
      </c>
      <c r="P166" s="5" t="str" cm="1">
        <f t="array" ref="P166">IF(A166="","",IF(SUMPRODUCT(($F$2:$F$969=F166)*($I$2:$I$969=I166))=1,"خیر",IF(SUMPRODUCT(($F$2:F166=F166)*($I$2:I166=I166))=1,"بله-1","بله")))</f>
        <v>خیر</v>
      </c>
    </row>
    <row r="167" spans="1:16" ht="18.75" x14ac:dyDescent="0.25">
      <c r="A167" s="2" t="s">
        <v>693</v>
      </c>
      <c r="B167" s="2" t="s">
        <v>632</v>
      </c>
      <c r="C167" s="2" t="s">
        <v>633</v>
      </c>
      <c r="D167" s="2" t="s">
        <v>42</v>
      </c>
      <c r="E167" s="2" t="s">
        <v>43</v>
      </c>
      <c r="F167" s="2" t="s">
        <v>694</v>
      </c>
      <c r="G167" s="2" t="s">
        <v>453</v>
      </c>
      <c r="H167" s="18" t="s">
        <v>221</v>
      </c>
      <c r="I167" s="2" t="s">
        <v>691</v>
      </c>
      <c r="J167" s="2" t="s">
        <v>301</v>
      </c>
      <c r="K167" s="2" t="s">
        <v>695</v>
      </c>
      <c r="L167" s="3">
        <f>IF(OR(TRIM(I167)="",TRIM(K167)=""),"",IFERROR((VALUE(LEFT(TRIM(I167),4))-VALUE(LEFT(TRIM(K167),4)))*12+VALUE(MID(TRIM(I167),6,2))-VALUE(MID(TRIM(K167),6,2)),""))</f>
        <v>5</v>
      </c>
      <c r="M167" s="2" t="str">
        <f>IF(TRIM(H167)="","",IFERROR(LOOKUP(2,1/(ISNUMBER(SEARCH('منطق دسته‌بندی'!$A$2:$A$187,H167))),'منطق دسته‌بندی'!$B$2:$B$187),"سایر (نیازمند بررسی دستی)"))</f>
        <v>نشتی - پمپ تخلیه (تعمیر/آب‌بندی)</v>
      </c>
      <c r="N167" s="2" t="s">
        <v>2025</v>
      </c>
      <c r="O167" s="2" t="str" cm="1">
        <f t="array" ref="O167">IF(A167="","",IF(SUMPRODUCT(($B$2:$B$965=B167)*($C$2:$C$965=C167)*($D$2:$D$965=D167)*($E$2:$E$965=E167)*($F$2:$F$965=F167)*($G$2:$G$965=G167)*($H$2:$H$965=H167)*($I$2:$I$965=I167)*($J$2:$J$965=J167)*($K$2:$K$965=K167)*($N$2:$N$965=N167))=1,"خیر",IF(SUMPRODUCT(($B$2:B167=B167)*($C$2:C167=C167)*($D$2:D167=D167)*($E$2:E167=E167)*($F$2:F167=F167)*($G$2:G167=G167)*($H$2:H167=H167)*($I$2:I167=I167)*($J$2:J167=J167)*($K$2:K167=K167)*($N$2:N167=N167))=1,"بله-1","بله")))</f>
        <v>خیر</v>
      </c>
      <c r="P167" s="5" t="str" cm="1">
        <f t="array" ref="P167">IF(A167="","",IF(SUMPRODUCT(($F$2:$F$969=F167)*($I$2:$I$969=I167))=1,"خیر",IF(SUMPRODUCT(($F$2:F167=F167)*($I$2:I167=I167))=1,"بله-1","بله")))</f>
        <v>خیر</v>
      </c>
    </row>
    <row r="168" spans="1:16" ht="18.75" x14ac:dyDescent="0.25">
      <c r="A168" s="2" t="s">
        <v>362</v>
      </c>
      <c r="B168" s="2" t="s">
        <v>16</v>
      </c>
      <c r="C168" s="2" t="s">
        <v>17</v>
      </c>
      <c r="D168" s="2" t="s">
        <v>42</v>
      </c>
      <c r="E168" s="2" t="s">
        <v>43</v>
      </c>
      <c r="F168" s="2" t="s">
        <v>363</v>
      </c>
      <c r="G168" s="2" t="s">
        <v>73</v>
      </c>
      <c r="H168" s="2" t="s">
        <v>333</v>
      </c>
      <c r="I168" s="2" t="s">
        <v>364</v>
      </c>
      <c r="J168" s="2" t="s">
        <v>365</v>
      </c>
      <c r="K168" s="2" t="s">
        <v>366</v>
      </c>
      <c r="L168" s="3">
        <f>IF(OR(TRIM(I168)="",TRIM(K168)=""),"",IFERROR((VALUE(LEFT(TRIM(I168),4))-VALUE(LEFT(TRIM(K168),4)))*12+VALUE(MID(TRIM(I168),6,2))-VALUE(MID(TRIM(K168),6,2)),""))</f>
        <v>5</v>
      </c>
      <c r="M168" s="2" t="str">
        <f>IF(TRIM(H168)="","",IFERROR(LOOKUP(2,1/(ISNUMBER(SEARCH('منطق دسته‌بندی'!$A$2:$A$187,H168))),'منطق دسته‌بندی'!$B$2:$B$187),"سایر (نیازمند بررسی دستی)"))</f>
        <v>ریست نرم‌افزاری (بدون قطعه)</v>
      </c>
      <c r="N168" s="2" t="s">
        <v>24</v>
      </c>
      <c r="O168" s="2" t="str" cm="1">
        <f t="array" ref="O168">IF(A168="","",IF(SUMPRODUCT(($B$2:$B$965=B168)*($C$2:$C$965=C168)*($D$2:$D$965=D168)*($E$2:$E$965=E168)*($F$2:$F$965=F168)*($G$2:$G$965=G168)*($H$2:$H$965=H168)*($I$2:$I$965=I168)*($J$2:$J$965=J168)*($K$2:$K$965=K168)*($N$2:$N$965=N168))=1,"خیر",IF(SUMPRODUCT(($B$2:B168=B168)*($C$2:C168=C168)*($D$2:D168=D168)*($E$2:E168=E168)*($F$2:F168=F168)*($G$2:G168=G168)*($H$2:H168=H168)*($I$2:I168=I168)*($J$2:J168=J168)*($K$2:K168=K168)*($N$2:N168=N168))=1,"بله-1","بله")))</f>
        <v>خیر</v>
      </c>
      <c r="P168" s="5" t="str" cm="1">
        <f t="array" ref="P168">IF(A168="","",IF(SUMPRODUCT(($F$2:$F$969=F168)*($I$2:$I$969=I168))=1,"خیر",IF(SUMPRODUCT(($F$2:F168=F168)*($I$2:I168=I168))=1,"بله-1","بله")))</f>
        <v>خیر</v>
      </c>
    </row>
    <row r="169" spans="1:16" ht="37.5" x14ac:dyDescent="0.25">
      <c r="A169" s="2" t="s">
        <v>98</v>
      </c>
      <c r="B169" s="2" t="s">
        <v>16</v>
      </c>
      <c r="C169" s="2" t="s">
        <v>17</v>
      </c>
      <c r="D169" s="2" t="s">
        <v>42</v>
      </c>
      <c r="E169" s="2" t="s">
        <v>43</v>
      </c>
      <c r="F169" s="2" t="s">
        <v>99</v>
      </c>
      <c r="G169" s="2" t="s">
        <v>100</v>
      </c>
      <c r="H169" s="2" t="s">
        <v>101</v>
      </c>
      <c r="I169" s="2" t="s">
        <v>47</v>
      </c>
      <c r="J169" s="2" t="s">
        <v>102</v>
      </c>
      <c r="K169" s="2" t="s">
        <v>103</v>
      </c>
      <c r="L169" s="3">
        <f>IF(OR(TRIM(I169)="",TRIM(K169)=""),"",IFERROR((VALUE(LEFT(TRIM(I169),4))-VALUE(LEFT(TRIM(K169),4)))*12+VALUE(MID(TRIM(I169),6,2))-VALUE(MID(TRIM(K169),6,2)),""))</f>
        <v>1</v>
      </c>
      <c r="M169" s="2" t="str">
        <f>IF(TRIM(H169)="","",IFERROR(LOOKUP(2,1/(ISNUMBER(SEARCH('منطق دسته‌بندی'!$A$2:$A$187,H169))),'منطق دسته‌بندی'!$B$2:$B$187),"سایر (نیازمند بررسی دستی)"))</f>
        <v>حوضچه مخزن نمک - ترک/شکستگی (تعویض/بررسی)</v>
      </c>
      <c r="N169" s="2" t="s">
        <v>24</v>
      </c>
      <c r="O169" s="2" t="str" cm="1">
        <f t="array" ref="O169">IF(A169="","",IF(SUMPRODUCT(($B$2:$B$965=B169)*($C$2:$C$965=C169)*($D$2:$D$965=D169)*($E$2:$E$965=E169)*($F$2:$F$965=F169)*($G$2:$G$965=G169)*($H$2:$H$965=H169)*($I$2:$I$965=I169)*($J$2:$J$965=J169)*($K$2:$K$965=K169)*($N$2:$N$965=N169))=1,"خیر",IF(SUMPRODUCT(($B$2:B169=B169)*($C$2:C169=C169)*($D$2:D169=D169)*($E$2:E169=E169)*($F$2:F169=F169)*($G$2:G169=G169)*($H$2:H169=H169)*($I$2:I169=I169)*($J$2:J169=J169)*($K$2:K169=K169)*($N$2:N169=N169))=1,"بله-1","بله")))</f>
        <v>خیر</v>
      </c>
      <c r="P169" s="5" t="str" cm="1">
        <f t="array" ref="P169">IF(A169="","",IF(SUMPRODUCT(($F$2:$F$969=F169)*($I$2:$I$969=I169))=1,"خیر",IF(SUMPRODUCT(($F$2:F169=F169)*($I$2:I169=I169))=1,"بله-1","بله")))</f>
        <v>خیر</v>
      </c>
    </row>
    <row r="170" spans="1:16" ht="18.75" x14ac:dyDescent="0.25">
      <c r="A170" s="2">
        <v>130010691</v>
      </c>
      <c r="B170" s="2" t="s">
        <v>1950</v>
      </c>
      <c r="C170" s="2" t="s">
        <v>1951</v>
      </c>
      <c r="D170" s="2" t="s">
        <v>42</v>
      </c>
      <c r="E170" s="2" t="s">
        <v>1057</v>
      </c>
      <c r="F170" s="2" t="s">
        <v>1632</v>
      </c>
      <c r="G170" s="2" t="s">
        <v>1549</v>
      </c>
      <c r="H170" s="18" t="s">
        <v>221</v>
      </c>
      <c r="I170" s="2" t="s">
        <v>1420</v>
      </c>
      <c r="J170" s="2" t="s">
        <v>428</v>
      </c>
      <c r="K170" s="2" t="s">
        <v>966</v>
      </c>
      <c r="L170" s="3">
        <f>IF(OR(TRIM(I170)="",TRIM(K170)=""),"",IFERROR((VALUE(LEFT(TRIM(I170),4))-VALUE(LEFT(TRIM(K170),4)))*12+VALUE(MID(TRIM(I170),6,2))-VALUE(MID(TRIM(K170),6,2)),""))</f>
        <v>12</v>
      </c>
      <c r="M170" s="2" t="str">
        <f>IF(TRIM(H170)="","",IFERROR(LOOKUP(2,1/(ISNUMBER(SEARCH('منطق دسته‌بندی'!$A$2:$A$187,H170))),'منطق دسته‌بندی'!$B$2:$B$187),"سایر (نیازمند بررسی دستی)"))</f>
        <v>نشتی - پمپ تخلیه (تعمیر/آب‌بندی)</v>
      </c>
      <c r="N170" s="2" t="s">
        <v>2025</v>
      </c>
      <c r="O170" s="2" t="str" cm="1">
        <f t="array" ref="O170">IF(A170="","",IF(SUMPRODUCT(($B$2:$B$965=B170)*($C$2:$C$965=C170)*($D$2:$D$965=D170)*($E$2:$E$965=E170)*($F$2:$F$965=F170)*($G$2:$G$965=G170)*($H$2:$H$965=H170)*($I$2:$I$965=I170)*($J$2:$J$965=J170)*($K$2:$K$965=K170)*($N$2:$N$965=N170))=1,"خیر",IF(SUMPRODUCT(($B$2:B170=B170)*($C$2:C170=C170)*($D$2:D170=D170)*($E$2:E170=E170)*($F$2:F170=F170)*($G$2:G170=G170)*($H$2:H170=H170)*($I$2:I170=I170)*($J$2:J170=J170)*($K$2:K170=K170)*($N$2:N170=N170))=1,"بله-1","بله")))</f>
        <v>خیر</v>
      </c>
      <c r="P170" s="5" t="str" cm="1">
        <f t="array" ref="P170">IF(A170="","",IF(SUMPRODUCT(($F$2:$F$969=F170)*($I$2:$I$969=I170))=1,"خیر",IF(SUMPRODUCT(($F$2:F170=F170)*($I$2:I170=I170))=1,"بله-1","بله")))</f>
        <v>خیر</v>
      </c>
    </row>
    <row r="171" spans="1:16" ht="37.5" x14ac:dyDescent="0.25">
      <c r="A171" s="2" t="s">
        <v>1149</v>
      </c>
      <c r="B171" s="2" t="s">
        <v>1040</v>
      </c>
      <c r="C171" s="2" t="s">
        <v>1041</v>
      </c>
      <c r="D171" s="2" t="s">
        <v>42</v>
      </c>
      <c r="E171" s="2" t="s">
        <v>1057</v>
      </c>
      <c r="F171" s="2" t="s">
        <v>1150</v>
      </c>
      <c r="G171" s="2" t="s">
        <v>1151</v>
      </c>
      <c r="H171" s="2" t="s">
        <v>68</v>
      </c>
      <c r="I171" s="2" t="s">
        <v>1128</v>
      </c>
      <c r="J171" s="2" t="s">
        <v>277</v>
      </c>
      <c r="K171" s="2" t="s">
        <v>1152</v>
      </c>
      <c r="L171" s="3">
        <f>IF(OR(TRIM(I171)="",TRIM(K171)=""),"",IFERROR((VALUE(LEFT(TRIM(I171),4))-VALUE(LEFT(TRIM(K171),4)))*12+VALUE(MID(TRIM(I171),6,2))-VALUE(MID(TRIM(K171),6,2)),""))</f>
        <v>7</v>
      </c>
      <c r="M171" s="2" t="str">
        <f>IF(TRIM(H171)="","",IFERROR(LOOKUP(2,1/(ISNUMBER(SEARCH('منطق دسته‌بندی'!$A$2:$A$187,H171))),'منطق دسته‌بندی'!$B$2:$B$187),"سایر (نیازمند بررسی دستی)"))</f>
        <v>مکانیزم درب - میکروسوئیچ/قلاب (تعویض/تنظیم)</v>
      </c>
      <c r="N171" s="2" t="s">
        <v>1059</v>
      </c>
      <c r="O171" s="2" t="str" cm="1">
        <f t="array" ref="O171">IF(A171="","",IF(SUMPRODUCT(($B$2:$B$965=B171)*($C$2:$C$965=C171)*($D$2:$D$965=D171)*($E$2:$E$965=E171)*($F$2:$F$965=F171)*($G$2:$G$965=G171)*($H$2:$H$965=H171)*($I$2:$I$965=I171)*($J$2:$J$965=J171)*($K$2:$K$965=K171)*($N$2:$N$965=N171))=1,"خیر",IF(SUMPRODUCT(($B$2:B171=B171)*($C$2:C171=C171)*($D$2:D171=D171)*($E$2:E171=E171)*($F$2:F171=F171)*($G$2:G171=G171)*($H$2:H171=H171)*($I$2:I171=I171)*($J$2:J171=J171)*($K$2:K171=K171)*($N$2:N171=N171))=1,"بله-1","بله")))</f>
        <v>خیر</v>
      </c>
      <c r="P171" s="5" t="str" cm="1">
        <f t="array" ref="P171">IF(A171="","",IF(SUMPRODUCT(($F$2:$F$969=F171)*($I$2:$I$969=I171))=1,"خیر",IF(SUMPRODUCT(($F$2:F171=F171)*($I$2:I171=I171))=1,"بله-1","بله")))</f>
        <v>خیر</v>
      </c>
    </row>
    <row r="172" spans="1:16" ht="18.75" x14ac:dyDescent="0.25">
      <c r="A172" s="2">
        <v>210023675</v>
      </c>
      <c r="B172" s="2" t="s">
        <v>1950</v>
      </c>
      <c r="C172" s="2" t="s">
        <v>1951</v>
      </c>
      <c r="D172" s="2" t="s">
        <v>42</v>
      </c>
      <c r="E172" s="2" t="s">
        <v>1057</v>
      </c>
      <c r="F172" s="2" t="s">
        <v>1627</v>
      </c>
      <c r="G172" s="2" t="s">
        <v>1628</v>
      </c>
      <c r="H172" s="2" t="s">
        <v>1629</v>
      </c>
      <c r="I172" s="2" t="s">
        <v>1360</v>
      </c>
      <c r="J172" s="2" t="s">
        <v>798</v>
      </c>
      <c r="K172" s="2" t="s">
        <v>1630</v>
      </c>
      <c r="L172" s="3">
        <f>IF(OR(TRIM(I172)="",TRIM(K172)=""),"",IFERROR((VALUE(LEFT(TRIM(I172),4))-VALUE(LEFT(TRIM(K172),4)))*12+VALUE(MID(TRIM(I172),6,2))-VALUE(MID(TRIM(K172),6,2)),""))</f>
        <v>12</v>
      </c>
      <c r="M172" s="2" t="str">
        <f>IF(TRIM(H172)="","",IFERROR(LOOKUP(2,1/(ISNUMBER(SEARCH('منطق دسته‌بندی'!$A$2:$A$187,H172))),'منطق دسته‌بندی'!$B$2:$B$187),"سایر (نیازمند بررسی دستی)"))</f>
        <v>خرابی - هیدروستات (تعویض)</v>
      </c>
      <c r="N172" s="2" t="s">
        <v>1631</v>
      </c>
      <c r="O172" s="2" t="str" cm="1">
        <f t="array" ref="O172">IF(A172="","",IF(SUMPRODUCT(($B$2:$B$965=B172)*($C$2:$C$965=C172)*($D$2:$D$965=D172)*($E$2:$E$965=E172)*($F$2:$F$965=F172)*($G$2:$G$965=G172)*($H$2:$H$965=H172)*($I$2:$I$965=I172)*($J$2:$J$965=J172)*($K$2:$K$965=K172)*($N$2:$N$965=N172))=1,"خیر",IF(SUMPRODUCT(($B$2:B172=B172)*($C$2:C172=C172)*($D$2:D172=D172)*($E$2:E172=E172)*($F$2:F172=F172)*($G$2:G172=G172)*($H$2:H172=H172)*($I$2:I172=I172)*($J$2:J172=J172)*($K$2:K172=K172)*($N$2:N172=N172))=1,"بله-1","بله")))</f>
        <v>خیر</v>
      </c>
      <c r="P172" s="5" t="str" cm="1">
        <f t="array" ref="P172">IF(A172="","",IF(SUMPRODUCT(($F$2:$F$969=F172)*($I$2:$I$969=I172))=1,"خیر",IF(SUMPRODUCT(($F$2:F172=F172)*($I$2:I172=I172))=1,"بله-1","بله")))</f>
        <v>خیر</v>
      </c>
    </row>
    <row r="173" spans="1:16" ht="37.5" x14ac:dyDescent="0.25">
      <c r="A173" s="2" t="s">
        <v>1130</v>
      </c>
      <c r="B173" s="2" t="s">
        <v>1040</v>
      </c>
      <c r="C173" s="2" t="s">
        <v>1041</v>
      </c>
      <c r="D173" s="2" t="s">
        <v>42</v>
      </c>
      <c r="E173" s="2" t="s">
        <v>1057</v>
      </c>
      <c r="F173" s="2" t="s">
        <v>1131</v>
      </c>
      <c r="G173" s="2" t="s">
        <v>1132</v>
      </c>
      <c r="H173" s="18" t="s">
        <v>1891</v>
      </c>
      <c r="I173" s="2" t="s">
        <v>1128</v>
      </c>
      <c r="J173" s="2" t="s">
        <v>234</v>
      </c>
      <c r="K173" s="2" t="s">
        <v>1002</v>
      </c>
      <c r="L173" s="3">
        <f>IF(OR(TRIM(I173)="",TRIM(K173)=""),"",IFERROR((VALUE(LEFT(TRIM(I173),4))-VALUE(LEFT(TRIM(K173),4)))*12+VALUE(MID(TRIM(I173),6,2))-VALUE(MID(TRIM(K173),6,2)),""))</f>
        <v>2</v>
      </c>
      <c r="M173" s="2" t="str">
        <f>IF(TRIM(H173)="","",IFERROR(LOOKUP(2,1/(ISNUMBER(SEARCH('منطق دسته‌بندی'!$A$2:$A$187,H173))),'منطق دسته‌بندی'!$B$2:$B$187),"سایر (نیازمند بررسی دستی)"))</f>
        <v>تنظیم - تنظیمات دستگاه/دیسپلی (تعمیر)</v>
      </c>
      <c r="N173" s="2" t="s">
        <v>24</v>
      </c>
      <c r="O173" s="2" t="str" cm="1">
        <f t="array" ref="O173">IF(A173="","",IF(SUMPRODUCT(($B$2:$B$965=B173)*($C$2:$C$965=C173)*($D$2:$D$965=D173)*($E$2:$E$965=E173)*($F$2:$F$965=F173)*($G$2:$G$965=G173)*($H$2:$H$965=H173)*($I$2:$I$965=I173)*($J$2:$J$965=J173)*($K$2:$K$965=K173)*($N$2:$N$965=N173))=1,"خیر",IF(SUMPRODUCT(($B$2:B173=B173)*($C$2:C173=C173)*($D$2:D173=D173)*($E$2:E173=E173)*($F$2:F173=F173)*($G$2:G173=G173)*($H$2:H173=H173)*($I$2:I173=I173)*($J$2:J173=J173)*($K$2:K173=K173)*($N$2:N173=N173))=1,"بله-1","بله")))</f>
        <v>خیر</v>
      </c>
      <c r="P173" s="5" t="str" cm="1">
        <f t="array" ref="P173">IF(A173="","",IF(SUMPRODUCT(($F$2:$F$969=F173)*($I$2:$I$969=I173))=1,"خیر",IF(SUMPRODUCT(($F$2:F173=F173)*($I$2:I173=I173))=1,"بله-1","بله")))</f>
        <v>خیر</v>
      </c>
    </row>
    <row r="174" spans="1:16" ht="18.75" x14ac:dyDescent="0.25">
      <c r="A174" s="2" t="s">
        <v>397</v>
      </c>
      <c r="B174" s="2" t="s">
        <v>16</v>
      </c>
      <c r="C174" s="2" t="s">
        <v>17</v>
      </c>
      <c r="D174" s="2" t="s">
        <v>42</v>
      </c>
      <c r="E174" s="2" t="s">
        <v>43</v>
      </c>
      <c r="F174" s="2" t="s">
        <v>398</v>
      </c>
      <c r="G174" s="2" t="s">
        <v>194</v>
      </c>
      <c r="H174" s="18" t="s">
        <v>221</v>
      </c>
      <c r="I174" s="2" t="s">
        <v>364</v>
      </c>
      <c r="J174" s="2" t="s">
        <v>399</v>
      </c>
      <c r="K174" s="2" t="s">
        <v>400</v>
      </c>
      <c r="L174" s="3">
        <f>IF(OR(TRIM(I174)="",TRIM(K174)=""),"",IFERROR((VALUE(LEFT(TRIM(I174),4))-VALUE(LEFT(TRIM(K174),4)))*12+VALUE(MID(TRIM(I174),6,2))-VALUE(MID(TRIM(K174),6,2)),""))</f>
        <v>5</v>
      </c>
      <c r="M174" s="2" t="str">
        <f>IF(TRIM(H174)="","",IFERROR(LOOKUP(2,1/(ISNUMBER(SEARCH('منطق دسته‌بندی'!$A$2:$A$187,H174))),'منطق دسته‌بندی'!$B$2:$B$187),"سایر (نیازمند بررسی دستی)"))</f>
        <v>نشتی - پمپ تخلیه (تعمیر/آب‌بندی)</v>
      </c>
      <c r="N174" s="2" t="s">
        <v>2025</v>
      </c>
      <c r="O174" s="2" t="str" cm="1">
        <f t="array" ref="O174">IF(A174="","",IF(SUMPRODUCT(($B$2:$B$965=B174)*($C$2:$C$965=C174)*($D$2:$D$965=D174)*($E$2:$E$965=E174)*($F$2:$F$965=F174)*($G$2:$G$965=G174)*($H$2:$H$965=H174)*($I$2:$I$965=I174)*($J$2:$J$965=J174)*($K$2:$K$965=K174)*($N$2:$N$965=N174))=1,"خیر",IF(SUMPRODUCT(($B$2:B174=B174)*($C$2:C174=C174)*($D$2:D174=D174)*($E$2:E174=E174)*($F$2:F174=F174)*($G$2:G174=G174)*($H$2:H174=H174)*($I$2:I174=I174)*($J$2:J174=J174)*($K$2:K174=K174)*($N$2:N174=N174))=1,"بله-1","بله")))</f>
        <v>خیر</v>
      </c>
      <c r="P174" s="5" t="str" cm="1">
        <f t="array" ref="P174">IF(A174="","",IF(SUMPRODUCT(($F$2:$F$969=F174)*($I$2:$I$969=I174))=1,"خیر",IF(SUMPRODUCT(($F$2:F174=F174)*($I$2:I174=I174))=1,"بله-1","بله")))</f>
        <v>خیر</v>
      </c>
    </row>
    <row r="175" spans="1:16" ht="18.75" x14ac:dyDescent="0.25">
      <c r="A175" s="2">
        <v>510025870</v>
      </c>
      <c r="B175" s="2" t="s">
        <v>1950</v>
      </c>
      <c r="C175" s="2" t="s">
        <v>1951</v>
      </c>
      <c r="D175" s="2" t="s">
        <v>42</v>
      </c>
      <c r="E175" s="2" t="s">
        <v>1057</v>
      </c>
      <c r="F175" s="2" t="s">
        <v>1571</v>
      </c>
      <c r="G175" s="2" t="s">
        <v>1364</v>
      </c>
      <c r="H175" s="2" t="s">
        <v>1572</v>
      </c>
      <c r="I175" s="2" t="s">
        <v>1360</v>
      </c>
      <c r="J175" s="2" t="s">
        <v>399</v>
      </c>
      <c r="K175" s="2" t="s">
        <v>1573</v>
      </c>
      <c r="L175" s="3">
        <f>IF(OR(TRIM(I175)="",TRIM(K175)=""),"",IFERROR((VALUE(LEFT(TRIM(I175),4))-VALUE(LEFT(TRIM(K175),4)))*12+VALUE(MID(TRIM(I175),6,2))-VALUE(MID(TRIM(K175),6,2)),""))</f>
        <v>15</v>
      </c>
      <c r="M175" s="2" t="str">
        <f>IF(TRIM(H175)="","",IFERROR(LOOKUP(2,1/(ISNUMBER(SEARCH('منطق دسته‌بندی'!$A$2:$A$187,H175))),'منطق دسته‌بندی'!$B$2:$B$187),"سایر (نیازمند بررسی دستی)"))</f>
        <v>نشتی - شیلنگ (تعمیر/آب‌بندی)</v>
      </c>
      <c r="N175" s="2" t="s">
        <v>1381</v>
      </c>
      <c r="O175" s="2" t="str" cm="1">
        <f t="array" ref="O175">IF(A175="","",IF(SUMPRODUCT(($B$2:$B$965=B175)*($C$2:$C$965=C175)*($D$2:$D$965=D175)*($E$2:$E$965=E175)*($F$2:$F$965=F175)*($G$2:$G$965=G175)*($H$2:$H$965=H175)*($I$2:$I$965=I175)*($J$2:$J$965=J175)*($K$2:$K$965=K175)*($N$2:$N$965=N175))=1,"خیر",IF(SUMPRODUCT(($B$2:B175=B175)*($C$2:C175=C175)*($D$2:D175=D175)*($E$2:E175=E175)*($F$2:F175=F175)*($G$2:G175=G175)*($H$2:H175=H175)*($I$2:I175=I175)*($J$2:J175=J175)*($K$2:K175=K175)*($N$2:N175=N175))=1,"بله-1","بله")))</f>
        <v>خیر</v>
      </c>
      <c r="P175" s="5" t="str" cm="1">
        <f t="array" ref="P175">IF(A175="","",IF(SUMPRODUCT(($F$2:$F$969=F175)*($I$2:$I$969=I175))=1,"خیر",IF(SUMPRODUCT(($F$2:F175=F175)*($I$2:I175=I175))=1,"بله-1","بله")))</f>
        <v>خیر</v>
      </c>
    </row>
    <row r="176" spans="1:16" ht="18.75" x14ac:dyDescent="0.25">
      <c r="A176" s="2">
        <v>210024421</v>
      </c>
      <c r="B176" s="2" t="s">
        <v>1950</v>
      </c>
      <c r="C176" s="2" t="s">
        <v>1951</v>
      </c>
      <c r="D176" s="2" t="s">
        <v>42</v>
      </c>
      <c r="E176" s="2" t="s">
        <v>1057</v>
      </c>
      <c r="F176" s="2" t="s">
        <v>1570</v>
      </c>
      <c r="G176" s="2" t="s">
        <v>1549</v>
      </c>
      <c r="H176" s="2" t="s">
        <v>1551</v>
      </c>
      <c r="I176" s="2" t="s">
        <v>1399</v>
      </c>
      <c r="J176" s="2" t="s">
        <v>1503</v>
      </c>
      <c r="K176" s="2" t="s">
        <v>1187</v>
      </c>
      <c r="L176" s="3">
        <f>IF(OR(TRIM(I176)="",TRIM(K176)=""),"",IFERROR((VALUE(LEFT(TRIM(I176),4))-VALUE(LEFT(TRIM(K176),4)))*12+VALUE(MID(TRIM(I176),6,2))-VALUE(MID(TRIM(K176),6,2)),""))</f>
        <v>12</v>
      </c>
      <c r="M176" s="2" t="str">
        <f>IF(TRIM(H176)="","",IFERROR(LOOKUP(2,1/(ISNUMBER(SEARCH('منطق دسته‌بندی'!$A$2:$A$187,H176))),'منطق دسته‌بندی'!$B$2:$B$187),"سایر (نیازمند بررسی دستی)"))</f>
        <v>نشتی - درب مخزن نمک (تعمیر/آب‌بندی)</v>
      </c>
      <c r="N176" s="2" t="s">
        <v>1381</v>
      </c>
      <c r="O176" s="2" t="str" cm="1">
        <f t="array" ref="O176">IF(A176="","",IF(SUMPRODUCT(($B$2:$B$965=B176)*($C$2:$C$965=C176)*($D$2:$D$965=D176)*($E$2:$E$965=E176)*($F$2:$F$965=F176)*($G$2:$G$965=G176)*($H$2:$H$965=H176)*($I$2:$I$965=I176)*($J$2:$J$965=J176)*($K$2:$K$965=K176)*($N$2:$N$965=N176))=1,"خیر",IF(SUMPRODUCT(($B$2:B176=B176)*($C$2:C176=C176)*($D$2:D176=D176)*($E$2:E176=E176)*($F$2:F176=F176)*($G$2:G176=G176)*($H$2:H176=H176)*($I$2:I176=I176)*($J$2:J176=J176)*($K$2:K176=K176)*($N$2:N176=N176))=1,"بله-1","بله")))</f>
        <v>خیر</v>
      </c>
      <c r="P176" s="5" t="str" cm="1">
        <f t="array" ref="P176">IF(A176="","",IF(SUMPRODUCT(($F$2:$F$969=F176)*($I$2:$I$969=I176))=1,"خیر",IF(SUMPRODUCT(($F$2:F176=F176)*($I$2:I176=I176))=1,"بله-1","بله")))</f>
        <v>خیر</v>
      </c>
    </row>
    <row r="177" spans="1:16" ht="18.75" x14ac:dyDescent="0.25">
      <c r="A177" s="2">
        <v>210024421</v>
      </c>
      <c r="B177" s="2" t="s">
        <v>1950</v>
      </c>
      <c r="C177" s="2" t="s">
        <v>1951</v>
      </c>
      <c r="D177" s="2" t="s">
        <v>2019</v>
      </c>
      <c r="E177" s="2" t="s">
        <v>43</v>
      </c>
      <c r="F177" s="2" t="s">
        <v>1570</v>
      </c>
      <c r="G177" s="2" t="s">
        <v>1605</v>
      </c>
      <c r="H177" s="18" t="s">
        <v>221</v>
      </c>
      <c r="I177" s="2" t="s">
        <v>2002</v>
      </c>
      <c r="J177" s="2" t="s">
        <v>1503</v>
      </c>
      <c r="K177" s="2" t="s">
        <v>1187</v>
      </c>
      <c r="L177" s="3">
        <f>IF(OR(TRIM(I177)="",TRIM(K177)=""),"",IFERROR((VALUE(LEFT(TRIM(I177),4))-VALUE(LEFT(TRIM(K177),4)))*12+VALUE(MID(TRIM(I177),6,2))-VALUE(MID(TRIM(K177),6,2)),""))</f>
        <v>12</v>
      </c>
      <c r="M177" s="2" t="str">
        <f>IF(TRIM(H177)="","",IFERROR(LOOKUP(2,1/(ISNUMBER(SEARCH('منطق دسته‌بندی'!$A$2:$A$187,H177))),'منطق دسته‌بندی'!$B$2:$B$187),"سایر (نیازمند بررسی دستی)"))</f>
        <v>نشتی - پمپ تخلیه (تعمیر/آب‌بندی)</v>
      </c>
      <c r="N177" s="2" t="s">
        <v>2025</v>
      </c>
      <c r="O177" s="2" t="str" cm="1">
        <f t="array" ref="O177">IF(A177="","",IF(SUMPRODUCT(($B$2:$B$965=B177)*($C$2:$C$965=C177)*($D$2:$D$965=D177)*($E$2:$E$965=E177)*($F$2:$F$965=F177)*($G$2:$G$965=G177)*($H$2:$H$965=H177)*($I$2:$I$965=I177)*($J$2:$J$965=J177)*($K$2:$K$965=K177)*($N$2:$N$965=N177))=1,"خیر",IF(SUMPRODUCT(($B$2:B177=B177)*($C$2:C177=C177)*($D$2:D177=D177)*($E$2:E177=E177)*($F$2:F177=F177)*($G$2:G177=G177)*($H$2:H177=H177)*($I$2:I177=I177)*($J$2:J177=J177)*($K$2:K177=K177)*($N$2:N177=N177))=1,"بله-1","بله")))</f>
        <v>خیر</v>
      </c>
      <c r="P177" s="5" t="str" cm="1">
        <f t="array" ref="P177">IF(A177="","",IF(SUMPRODUCT(($F$2:$F$969=F177)*($I$2:$I$969=I177))=1,"خیر",IF(SUMPRODUCT(($F$2:F177=F177)*($I$2:I177=I177))=1,"بله-1","بله")))</f>
        <v>خیر</v>
      </c>
    </row>
    <row r="178" spans="1:16" ht="18.75" x14ac:dyDescent="0.25">
      <c r="A178" s="2">
        <v>130011166</v>
      </c>
      <c r="B178" s="2" t="s">
        <v>1950</v>
      </c>
      <c r="C178" s="2" t="s">
        <v>1951</v>
      </c>
      <c r="D178" s="2" t="s">
        <v>42</v>
      </c>
      <c r="E178" s="2" t="s">
        <v>1057</v>
      </c>
      <c r="F178" s="2" t="s">
        <v>1567</v>
      </c>
      <c r="G178" s="2" t="s">
        <v>1457</v>
      </c>
      <c r="H178" s="2" t="s">
        <v>1568</v>
      </c>
      <c r="I178" s="2" t="s">
        <v>1547</v>
      </c>
      <c r="J178" s="2" t="s">
        <v>1503</v>
      </c>
      <c r="K178" s="2" t="s">
        <v>1559</v>
      </c>
      <c r="L178" s="3">
        <f>IF(OR(TRIM(I178)="",TRIM(K178)=""),"",IFERROR((VALUE(LEFT(TRIM(I178),4))-VALUE(LEFT(TRIM(K178),4)))*12+VALUE(MID(TRIM(I178),6,2))-VALUE(MID(TRIM(K178),6,2)),""))</f>
        <v>0</v>
      </c>
      <c r="M178" s="2" t="str">
        <f>IF(TRIM(H178)="","",IFERROR(LOOKUP(2,1/(ISNUMBER(SEARCH('منطق دسته‌بندی'!$A$2:$A$187,H178))),'منطق دسته‌بندی'!$B$2:$B$187),"سایر (نیازمند بررسی دستی)"))</f>
        <v>نشتی - شیلنگ (تعمیر/آب‌بندی)</v>
      </c>
      <c r="N178" s="2" t="s">
        <v>1569</v>
      </c>
      <c r="O178" s="2" t="str" cm="1">
        <f t="array" ref="O178">IF(A178="","",IF(SUMPRODUCT(($B$2:$B$965=B178)*($C$2:$C$965=C178)*($D$2:$D$965=D178)*($E$2:$E$965=E178)*($F$2:$F$965=F178)*($G$2:$G$965=G178)*($H$2:$H$965=H178)*($I$2:$I$965=I178)*($J$2:$J$965=J178)*($K$2:$K$965=K178)*($N$2:$N$965=N178))=1,"خیر",IF(SUMPRODUCT(($B$2:B178=B178)*($C$2:C178=C178)*($D$2:D178=D178)*($E$2:E178=E178)*($F$2:F178=F178)*($G$2:G178=G178)*($H$2:H178=H178)*($I$2:I178=I178)*($J$2:J178=J178)*($K$2:K178=K178)*($N$2:N178=N178))=1,"بله-1","بله")))</f>
        <v>خیر</v>
      </c>
      <c r="P178" s="5" t="str" cm="1">
        <f t="array" ref="P178">IF(A178="","",IF(SUMPRODUCT(($F$2:$F$969=F178)*($I$2:$I$969=I178))=1,"خیر",IF(SUMPRODUCT(($F$2:F178=F178)*($I$2:I178=I178))=1,"بله-1","بله")))</f>
        <v>خیر</v>
      </c>
    </row>
    <row r="179" spans="1:16" ht="18.75" x14ac:dyDescent="0.25">
      <c r="A179" s="2" t="s">
        <v>646</v>
      </c>
      <c r="B179" s="2" t="s">
        <v>632</v>
      </c>
      <c r="C179" s="2" t="s">
        <v>633</v>
      </c>
      <c r="D179" s="2" t="s">
        <v>42</v>
      </c>
      <c r="E179" s="2" t="s">
        <v>43</v>
      </c>
      <c r="F179" s="2" t="s">
        <v>647</v>
      </c>
      <c r="G179" s="2" t="s">
        <v>78</v>
      </c>
      <c r="H179" s="2" t="s">
        <v>648</v>
      </c>
      <c r="I179" s="2" t="s">
        <v>644</v>
      </c>
      <c r="J179" s="2" t="s">
        <v>649</v>
      </c>
      <c r="K179" s="2" t="s">
        <v>650</v>
      </c>
      <c r="L179" s="3">
        <f>IF(OR(TRIM(I179)="",TRIM(K179)=""),"",IFERROR((VALUE(LEFT(TRIM(I179),4))-VALUE(LEFT(TRIM(K179),4)))*12+VALUE(MID(TRIM(I179),6,2))-VALUE(MID(TRIM(K179),6,2)),""))</f>
        <v>6</v>
      </c>
      <c r="M179" s="2" t="str">
        <f>IF(TRIM(H179)="","",IFERROR(LOOKUP(2,1/(ISNUMBER(SEARCH('منطق دسته‌بندی'!$A$2:$A$187,H179))),'منطق دسته‌بندی'!$B$2:$B$187),"سایر (نیازمند بررسی دستی)"))</f>
        <v>نشتی - براکت ریل (تعمیر/آب‌بندی)</v>
      </c>
      <c r="N179" s="2" t="s">
        <v>24</v>
      </c>
      <c r="O179" s="2" t="str" cm="1">
        <f t="array" ref="O179">IF(A179="","",IF(SUMPRODUCT(($B$2:$B$965=B179)*($C$2:$C$965=C179)*($D$2:$D$965=D179)*($E$2:$E$965=E179)*($F$2:$F$965=F179)*($G$2:$G$965=G179)*($H$2:$H$965=H179)*($I$2:$I$965=I179)*($J$2:$J$965=J179)*($K$2:$K$965=K179)*($N$2:$N$965=N179))=1,"خیر",IF(SUMPRODUCT(($B$2:B179=B179)*($C$2:C179=C179)*($D$2:D179=D179)*($E$2:E179=E179)*($F$2:F179=F179)*($G$2:G179=G179)*($H$2:H179=H179)*($I$2:I179=I179)*($J$2:J179=J179)*($K$2:K179=K179)*($N$2:N179=N179))=1,"بله-1","بله")))</f>
        <v>خیر</v>
      </c>
      <c r="P179" s="5" t="str" cm="1">
        <f t="array" ref="P179">IF(A179="","",IF(SUMPRODUCT(($F$2:$F$969=F179)*($I$2:$I$969=I179))=1,"خیر",IF(SUMPRODUCT(($F$2:F179=F179)*($I$2:I179=I179))=1,"بله-1","بله")))</f>
        <v>خیر</v>
      </c>
    </row>
    <row r="180" spans="1:16" ht="18.75" x14ac:dyDescent="0.25">
      <c r="A180" s="2" t="s">
        <v>828</v>
      </c>
      <c r="B180" s="2" t="s">
        <v>632</v>
      </c>
      <c r="C180" s="2" t="s">
        <v>633</v>
      </c>
      <c r="D180" s="2" t="s">
        <v>42</v>
      </c>
      <c r="E180" s="2" t="s">
        <v>43</v>
      </c>
      <c r="F180" s="2" t="s">
        <v>829</v>
      </c>
      <c r="G180" s="2" t="s">
        <v>78</v>
      </c>
      <c r="H180" s="2" t="s">
        <v>648</v>
      </c>
      <c r="I180" s="2" t="s">
        <v>827</v>
      </c>
      <c r="J180" s="2" t="s">
        <v>649</v>
      </c>
      <c r="K180" s="2" t="s">
        <v>830</v>
      </c>
      <c r="L180" s="3">
        <f>IF(OR(TRIM(I180)="",TRIM(K180)=""),"",IFERROR((VALUE(LEFT(TRIM(I180),4))-VALUE(LEFT(TRIM(K180),4)))*12+VALUE(MID(TRIM(I180),6,2))-VALUE(MID(TRIM(K180),6,2)),""))</f>
        <v>8</v>
      </c>
      <c r="M180" s="2" t="str">
        <f>IF(TRIM(H180)="","",IFERROR(LOOKUP(2,1/(ISNUMBER(SEARCH('منطق دسته‌بندی'!$A$2:$A$187,H180))),'منطق دسته‌بندی'!$B$2:$B$187),"سایر (نیازمند بررسی دستی)"))</f>
        <v>نشتی - براکت ریل (تعمیر/آب‌بندی)</v>
      </c>
      <c r="N180" s="2" t="s">
        <v>24</v>
      </c>
      <c r="O180" s="2" t="str" cm="1">
        <f t="array" ref="O180">IF(A180="","",IF(SUMPRODUCT(($B$2:$B$965=B180)*($C$2:$C$965=C180)*($D$2:$D$965=D180)*($E$2:$E$965=E180)*($F$2:$F$965=F180)*($G$2:$G$965=G180)*($H$2:$H$965=H180)*($I$2:$I$965=I180)*($J$2:$J$965=J180)*($K$2:$K$965=K180)*($N$2:$N$965=N180))=1,"خیر",IF(SUMPRODUCT(($B$2:B180=B180)*($C$2:C180=C180)*($D$2:D180=D180)*($E$2:E180=E180)*($F$2:F180=F180)*($G$2:G180=G180)*($H$2:H180=H180)*($I$2:I180=I180)*($J$2:J180=J180)*($K$2:K180=K180)*($N$2:N180=N180))=1,"بله-1","بله")))</f>
        <v>خیر</v>
      </c>
      <c r="P180" s="5" t="str" cm="1">
        <f t="array" ref="P180">IF(A180="","",IF(SUMPRODUCT(($F$2:$F$969=F180)*($I$2:$I$969=I180))=1,"خیر",IF(SUMPRODUCT(($F$2:F180=F180)*($I$2:I180=I180))=1,"بله-1","بله")))</f>
        <v>خیر</v>
      </c>
    </row>
    <row r="181" spans="1:16" ht="18.75" x14ac:dyDescent="0.25">
      <c r="A181" s="2" t="s">
        <v>1081</v>
      </c>
      <c r="B181" s="2" t="s">
        <v>1040</v>
      </c>
      <c r="C181" s="2" t="s">
        <v>1041</v>
      </c>
      <c r="D181" s="2" t="s">
        <v>42</v>
      </c>
      <c r="E181" s="2" t="s">
        <v>1057</v>
      </c>
      <c r="F181" s="2" t="s">
        <v>1082</v>
      </c>
      <c r="G181" s="2" t="s">
        <v>1083</v>
      </c>
      <c r="H181" s="2" t="s">
        <v>1084</v>
      </c>
      <c r="I181" s="2" t="s">
        <v>1076</v>
      </c>
      <c r="J181" s="2" t="s">
        <v>567</v>
      </c>
      <c r="K181" s="2" t="s">
        <v>39</v>
      </c>
      <c r="L181" s="3">
        <f>IF(OR(TRIM(I181)="",TRIM(K181)=""),"",IFERROR((VALUE(LEFT(TRIM(I181),4))-VALUE(LEFT(TRIM(K181),4)))*12+VALUE(MID(TRIM(I181),6,2))-VALUE(MID(TRIM(K181),6,2)),""))</f>
        <v>10</v>
      </c>
      <c r="M181" s="2" t="str">
        <f>IF(TRIM(H181)="","",IFERROR(LOOKUP(2,1/(ISNUMBER(SEARCH('منطق دسته‌بندی'!$A$2:$A$187,H181))),'منطق دسته‌بندی'!$B$2:$B$187),"سایر (نیازمند بررسی دستی)"))</f>
        <v>زنگ‌زدگی بدنه/قطعه (تعویض)</v>
      </c>
      <c r="N181" s="2" t="s">
        <v>1085</v>
      </c>
      <c r="O181" s="2" t="str" cm="1">
        <f t="array" ref="O181">IF(A181="","",IF(SUMPRODUCT(($B$2:$B$965=B181)*($C$2:$C$965=C181)*($D$2:$D$965=D181)*($E$2:$E$965=E181)*($F$2:$F$965=F181)*($G$2:$G$965=G181)*($H$2:$H$965=H181)*($I$2:$I$965=I181)*($J$2:$J$965=J181)*($K$2:$K$965=K181)*($N$2:$N$965=N181))=1,"خیر",IF(SUMPRODUCT(($B$2:B181=B181)*($C$2:C181=C181)*($D$2:D181=D181)*($E$2:E181=E181)*($F$2:F181=F181)*($G$2:G181=G181)*($H$2:H181=H181)*($I$2:I181=I181)*($J$2:J181=J181)*($K$2:K181=K181)*($N$2:N181=N181))=1,"بله-1","بله")))</f>
        <v>خیر</v>
      </c>
      <c r="P181" s="5" t="str" cm="1">
        <f t="array" ref="P181">IF(A181="","",IF(SUMPRODUCT(($F$2:$F$969=F181)*($I$2:$I$969=I181))=1,"خیر",IF(SUMPRODUCT(($F$2:F181=F181)*($I$2:I181=I181))=1,"بله-1","بله")))</f>
        <v>خیر</v>
      </c>
    </row>
    <row r="182" spans="1:16" ht="18.75" x14ac:dyDescent="0.25">
      <c r="A182" s="2" t="s">
        <v>227</v>
      </c>
      <c r="B182" s="2" t="s">
        <v>16</v>
      </c>
      <c r="C182" s="2" t="s">
        <v>17</v>
      </c>
      <c r="D182" s="2" t="s">
        <v>42</v>
      </c>
      <c r="E182" s="2" t="s">
        <v>43</v>
      </c>
      <c r="F182" s="2" t="s">
        <v>228</v>
      </c>
      <c r="G182" s="2" t="s">
        <v>148</v>
      </c>
      <c r="H182" s="2" t="s">
        <v>229</v>
      </c>
      <c r="I182" s="2" t="s">
        <v>47</v>
      </c>
      <c r="J182" s="2" t="s">
        <v>230</v>
      </c>
      <c r="K182" s="2" t="s">
        <v>56</v>
      </c>
      <c r="L182" s="3">
        <f>IF(OR(TRIM(I182)="",TRIM(K182)=""),"",IFERROR((VALUE(LEFT(TRIM(I182),4))-VALUE(LEFT(TRIM(K182),4)))*12+VALUE(MID(TRIM(I182),6,2))-VALUE(MID(TRIM(K182),6,2)),""))</f>
        <v>0</v>
      </c>
      <c r="M182" s="2" t="str">
        <f>IF(TRIM(H182)="","",IFERROR(LOOKUP(2,1/(ISNUMBER(SEARCH('منطق دسته‌بندی'!$A$2:$A$187,H182))),'منطق دسته‌بندی'!$B$2:$B$187),"سایر (نیازمند بررسی دستی)"))</f>
        <v>خرابی - هیدروستات (تعویض)</v>
      </c>
      <c r="N182" s="2" t="s">
        <v>231</v>
      </c>
      <c r="O182" s="2" t="str" cm="1">
        <f t="array" ref="O182">IF(A182="","",IF(SUMPRODUCT(($B$2:$B$965=B182)*($C$2:$C$965=C182)*($D$2:$D$965=D182)*($E$2:$E$965=E182)*($F$2:$F$965=F182)*($G$2:$G$965=G182)*($H$2:$H$965=H182)*($I$2:$I$965=I182)*($J$2:$J$965=J182)*($K$2:$K$965=K182)*($N$2:$N$965=N182))=1,"خیر",IF(SUMPRODUCT(($B$2:B182=B182)*($C$2:C182=C182)*($D$2:D182=D182)*($E$2:E182=E182)*($F$2:F182=F182)*($G$2:G182=G182)*($H$2:H182=H182)*($I$2:I182=I182)*($J$2:J182=J182)*($K$2:K182=K182)*($N$2:N182=N182))=1,"بله-1","بله")))</f>
        <v>خیر</v>
      </c>
      <c r="P182" s="5" t="str" cm="1">
        <f t="array" ref="P182">IF(A182="","",IF(SUMPRODUCT(($F$2:$F$969=F182)*($I$2:$I$969=I182))=1,"خیر",IF(SUMPRODUCT(($F$2:F182=F182)*($I$2:I182=I182))=1,"بله-1","بله")))</f>
        <v>خیر</v>
      </c>
    </row>
    <row r="183" spans="1:16" ht="18.75" x14ac:dyDescent="0.25">
      <c r="A183" s="2" t="s">
        <v>336</v>
      </c>
      <c r="B183" s="2" t="s">
        <v>16</v>
      </c>
      <c r="C183" s="2" t="s">
        <v>17</v>
      </c>
      <c r="D183" s="2" t="s">
        <v>42</v>
      </c>
      <c r="E183" s="2" t="s">
        <v>43</v>
      </c>
      <c r="F183" s="2" t="s">
        <v>337</v>
      </c>
      <c r="G183" s="2" t="s">
        <v>100</v>
      </c>
      <c r="H183" s="2" t="s">
        <v>338</v>
      </c>
      <c r="I183" s="2" t="s">
        <v>309</v>
      </c>
      <c r="J183" s="2" t="s">
        <v>339</v>
      </c>
      <c r="K183" s="2" t="s">
        <v>340</v>
      </c>
      <c r="L183" s="3">
        <f>IF(OR(TRIM(I183)="",TRIM(K183)=""),"",IFERROR((VALUE(LEFT(TRIM(I183),4))-VALUE(LEFT(TRIM(K183),4)))*12+VALUE(MID(TRIM(I183),6,2))-VALUE(MID(TRIM(K183),6,2)),""))</f>
        <v>8</v>
      </c>
      <c r="M183" s="2" t="str">
        <f>IF(TRIM(H183)="","",IFERROR(LOOKUP(2,1/(ISNUMBER(SEARCH('منطق دسته‌بندی'!$A$2:$A$187,H183))),'منطق دسته‌بندی'!$B$2:$B$187),"سایر (نیازمند بررسی دستی)"))</f>
        <v>سیم‌کشی/اتصالات (تعویض/بازبینی)</v>
      </c>
      <c r="N183" s="2" t="s">
        <v>24</v>
      </c>
      <c r="O183" s="2" t="str" cm="1">
        <f t="array" ref="O183">IF(A183="","",IF(SUMPRODUCT(($B$2:$B$965=B183)*($C$2:$C$965=C183)*($D$2:$D$965=D183)*($E$2:$E$965=E183)*($F$2:$F$965=F183)*($G$2:$G$965=G183)*($H$2:$H$965=H183)*($I$2:$I$965=I183)*($J$2:$J$965=J183)*($K$2:$K$965=K183)*($N$2:$N$965=N183))=1,"خیر",IF(SUMPRODUCT(($B$2:B183=B183)*($C$2:C183=C183)*($D$2:D183=D183)*($E$2:E183=E183)*($F$2:F183=F183)*($G$2:G183=G183)*($H$2:H183=H183)*($I$2:I183=I183)*($J$2:J183=J183)*($K$2:K183=K183)*($N$2:N183=N183))=1,"بله-1","بله")))</f>
        <v>خیر</v>
      </c>
      <c r="P183" s="5" t="str" cm="1">
        <f t="array" ref="P183">IF(A183="","",IF(SUMPRODUCT(($F$2:$F$969=F183)*($I$2:$I$969=I183))=1,"خیر",IF(SUMPRODUCT(($F$2:F183=F183)*($I$2:I183=I183))=1,"بله-1","بله")))</f>
        <v>خیر</v>
      </c>
    </row>
    <row r="184" spans="1:16" ht="18.75" x14ac:dyDescent="0.25">
      <c r="A184" s="2" t="s">
        <v>913</v>
      </c>
      <c r="B184" s="2" t="s">
        <v>881</v>
      </c>
      <c r="C184" s="2" t="s">
        <v>882</v>
      </c>
      <c r="D184" s="2" t="s">
        <v>42</v>
      </c>
      <c r="E184" s="2" t="s">
        <v>43</v>
      </c>
      <c r="F184" s="2" t="s">
        <v>914</v>
      </c>
      <c r="G184" s="2" t="s">
        <v>608</v>
      </c>
      <c r="H184" s="2" t="s">
        <v>915</v>
      </c>
      <c r="I184" s="2" t="s">
        <v>909</v>
      </c>
      <c r="J184" s="2" t="s">
        <v>916</v>
      </c>
      <c r="K184" s="2" t="s">
        <v>850</v>
      </c>
      <c r="L184" s="3">
        <f>IF(OR(TRIM(I184)="",TRIM(K184)=""),"",IFERROR((VALUE(LEFT(TRIM(I184),4))-VALUE(LEFT(TRIM(K184),4)))*12+VALUE(MID(TRIM(I184),6,2))-VALUE(MID(TRIM(K184),6,2)),""))</f>
        <v>9</v>
      </c>
      <c r="M184" s="2" t="str">
        <f>IF(TRIM(H184)="","",IFERROR(LOOKUP(2,1/(ISNUMBER(SEARCH('منطق دسته‌بندی'!$A$2:$A$187,H184))),'منطق دسته‌بندی'!$B$2:$B$187),"سایر (نیازمند بررسی دستی)"))</f>
        <v>تنظیم - تنظیمات دستگاه/دیسپلی (تعمیر)</v>
      </c>
      <c r="N184" s="2" t="s">
        <v>24</v>
      </c>
      <c r="O184" s="2" t="str" cm="1">
        <f t="array" ref="O184">IF(A184="","",IF(SUMPRODUCT(($B$2:$B$965=B184)*($C$2:$C$965=C184)*($D$2:$D$965=D184)*($E$2:$E$965=E184)*($F$2:$F$965=F184)*($G$2:$G$965=G184)*($H$2:$H$965=H184)*($I$2:$I$965=I184)*($J$2:$J$965=J184)*($K$2:$K$965=K184)*($N$2:$N$965=N184))=1,"خیر",IF(SUMPRODUCT(($B$2:B184=B184)*($C$2:C184=C184)*($D$2:D184=D184)*($E$2:E184=E184)*($F$2:F184=F184)*($G$2:G184=G184)*($H$2:H184=H184)*($I$2:I184=I184)*($J$2:J184=J184)*($K$2:K184=K184)*($N$2:N184=N184))=1,"بله-1","بله")))</f>
        <v>خیر</v>
      </c>
      <c r="P184" s="5" t="str" cm="1">
        <f t="array" ref="P184">IF(A184="","",IF(SUMPRODUCT(($F$2:$F$969=F184)*($I$2:$I$969=I184))=1,"خیر",IF(SUMPRODUCT(($F$2:F184=F184)*($I$2:I184=I184))=1,"بله-1","بله")))</f>
        <v>خیر</v>
      </c>
    </row>
    <row r="185" spans="1:16" ht="37.5" x14ac:dyDescent="0.25">
      <c r="A185" s="2" t="s">
        <v>949</v>
      </c>
      <c r="B185" s="2" t="s">
        <v>881</v>
      </c>
      <c r="C185" s="2" t="s">
        <v>882</v>
      </c>
      <c r="D185" s="2" t="s">
        <v>42</v>
      </c>
      <c r="E185" s="2" t="s">
        <v>43</v>
      </c>
      <c r="F185" s="2" t="s">
        <v>914</v>
      </c>
      <c r="G185" s="2" t="s">
        <v>950</v>
      </c>
      <c r="H185" s="2" t="s">
        <v>951</v>
      </c>
      <c r="I185" s="2" t="s">
        <v>943</v>
      </c>
      <c r="J185" s="2" t="s">
        <v>916</v>
      </c>
      <c r="K185" s="2" t="s">
        <v>850</v>
      </c>
      <c r="L185" s="3">
        <f>IF(OR(TRIM(I185)="",TRIM(K185)=""),"",IFERROR((VALUE(LEFT(TRIM(I185),4))-VALUE(LEFT(TRIM(K185),4)))*12+VALUE(MID(TRIM(I185),6,2))-VALUE(MID(TRIM(K185),6,2)),""))</f>
        <v>9</v>
      </c>
      <c r="M185" s="2" t="str">
        <f>IF(TRIM(H185)="","",IFERROR(LOOKUP(2,1/(ISNUMBER(SEARCH('منطق دسته‌بندی'!$A$2:$A$187,H185))),'منطق دسته‌بندی'!$B$2:$B$187),"سایر (نیازمند بررسی دستی)"))</f>
        <v>تنظیم - تنظیمات دستگاه/دیسپلی (تعمیر)</v>
      </c>
      <c r="N185" s="2" t="s">
        <v>24</v>
      </c>
      <c r="O185" s="2" t="str" cm="1">
        <f t="array" ref="O185">IF(A185="","",IF(SUMPRODUCT(($B$2:$B$965=B185)*($C$2:$C$965=C185)*($D$2:$D$965=D185)*($E$2:$E$965=E185)*($F$2:$F$965=F185)*($G$2:$G$965=G185)*($H$2:$H$965=H185)*($I$2:$I$965=I185)*($J$2:$J$965=J185)*($K$2:$K$965=K185)*($N$2:$N$965=N185))=1,"خیر",IF(SUMPRODUCT(($B$2:B185=B185)*($C$2:C185=C185)*($D$2:D185=D185)*($E$2:E185=E185)*($F$2:F185=F185)*($G$2:G185=G185)*($H$2:H185=H185)*($I$2:I185=I185)*($J$2:J185=J185)*($K$2:K185=K185)*($N$2:N185=N185))=1,"بله-1","بله")))</f>
        <v>خیر</v>
      </c>
      <c r="P185" s="5" t="str" cm="1">
        <f t="array" ref="P185">IF(A185="","",IF(SUMPRODUCT(($F$2:$F$969=F185)*($I$2:$I$969=I185))=1,"خیر",IF(SUMPRODUCT(($F$2:F185=F185)*($I$2:I185=I185))=1,"بله-1","بله")))</f>
        <v>خیر</v>
      </c>
    </row>
    <row r="186" spans="1:16" ht="37.5" x14ac:dyDescent="0.25">
      <c r="A186" s="2" t="s">
        <v>1005</v>
      </c>
      <c r="B186" s="2" t="s">
        <v>881</v>
      </c>
      <c r="C186" s="2" t="s">
        <v>882</v>
      </c>
      <c r="D186" s="2" t="s">
        <v>42</v>
      </c>
      <c r="E186" s="2" t="s">
        <v>43</v>
      </c>
      <c r="F186" s="2" t="s">
        <v>1006</v>
      </c>
      <c r="G186" s="2" t="s">
        <v>1007</v>
      </c>
      <c r="H186" s="2" t="s">
        <v>190</v>
      </c>
      <c r="I186" s="2" t="s">
        <v>1002</v>
      </c>
      <c r="J186" s="2" t="s">
        <v>1008</v>
      </c>
      <c r="K186" s="2" t="s">
        <v>428</v>
      </c>
      <c r="L186" s="3">
        <f>IF(OR(TRIM(I186)="",TRIM(K186)=""),"",IFERROR((VALUE(LEFT(TRIM(I186),4))-VALUE(LEFT(TRIM(K186),4)))*12+VALUE(MID(TRIM(I186),6,2))-VALUE(MID(TRIM(K186),6,2)),""))</f>
        <v>9</v>
      </c>
      <c r="M186" s="2" t="str">
        <f>IF(TRIM(H186)="","",IFERROR(LOOKUP(2,1/(ISNUMBER(SEARCH('منطق دسته‌بندی'!$A$2:$A$187,H186))),'منطق دسته‌بندی'!$B$2:$B$187),"سایر (نیازمند بررسی دستی)"))</f>
        <v>نشتی - مقسم آب (تعمیر/آب‌بندی)</v>
      </c>
      <c r="N186" s="2" t="s">
        <v>24</v>
      </c>
      <c r="O186" s="2" t="str" cm="1">
        <f t="array" ref="O186">IF(A186="","",IF(SUMPRODUCT(($B$2:$B$965=B186)*($C$2:$C$965=C186)*($D$2:$D$965=D186)*($E$2:$E$965=E186)*($F$2:$F$965=F186)*($G$2:$G$965=G186)*($H$2:$H$965=H186)*($I$2:$I$965=I186)*($J$2:$J$965=J186)*($K$2:$K$965=K186)*($N$2:$N$965=N186))=1,"خیر",IF(SUMPRODUCT(($B$2:B186=B186)*($C$2:C186=C186)*($D$2:D186=D186)*($E$2:E186=E186)*($F$2:F186=F186)*($G$2:G186=G186)*($H$2:H186=H186)*($I$2:I186=I186)*($J$2:J186=J186)*($K$2:K186=K186)*($N$2:N186=N186))=1,"بله-1","بله")))</f>
        <v>خیر</v>
      </c>
      <c r="P186" s="5" t="str" cm="1">
        <f t="array" ref="P186">IF(A186="","",IF(SUMPRODUCT(($F$2:$F$969=F186)*($I$2:$I$969=I186))=1,"خیر",IF(SUMPRODUCT(($F$2:F186=F186)*($I$2:I186=I186))=1,"بله-1","بله")))</f>
        <v>خیر</v>
      </c>
    </row>
    <row r="187" spans="1:16" ht="18.75" x14ac:dyDescent="0.25">
      <c r="A187" s="2" t="s">
        <v>1172</v>
      </c>
      <c r="B187" s="2" t="s">
        <v>1040</v>
      </c>
      <c r="C187" s="2" t="s">
        <v>1041</v>
      </c>
      <c r="D187" s="2" t="s">
        <v>42</v>
      </c>
      <c r="E187" s="2" t="s">
        <v>1057</v>
      </c>
      <c r="F187" s="2" t="s">
        <v>1173</v>
      </c>
      <c r="G187" s="2" t="s">
        <v>608</v>
      </c>
      <c r="H187" s="18" t="s">
        <v>1891</v>
      </c>
      <c r="I187" s="2" t="s">
        <v>1159</v>
      </c>
      <c r="J187" s="2" t="s">
        <v>571</v>
      </c>
      <c r="K187" s="2" t="s">
        <v>174</v>
      </c>
      <c r="L187" s="3">
        <f>IF(OR(TRIM(I187)="",TRIM(K187)=""),"",IFERROR((VALUE(LEFT(TRIM(I187),4))-VALUE(LEFT(TRIM(K187),4)))*12+VALUE(MID(TRIM(I187),6,2))-VALUE(MID(TRIM(K187),6,2)),""))</f>
        <v>5</v>
      </c>
      <c r="M187" s="2" t="str">
        <f>IF(TRIM(H187)="","",IFERROR(LOOKUP(2,1/(ISNUMBER(SEARCH('منطق دسته‌بندی'!$A$2:$A$187,H187))),'منطق دسته‌بندی'!$B$2:$B$187),"سایر (نیازمند بررسی دستی)"))</f>
        <v>تنظیم - تنظیمات دستگاه/دیسپلی (تعمیر)</v>
      </c>
      <c r="N187" s="2" t="s">
        <v>24</v>
      </c>
      <c r="O187" s="2" t="str" cm="1">
        <f t="array" ref="O187">IF(A187="","",IF(SUMPRODUCT(($B$2:$B$965=B187)*($C$2:$C$965=C187)*($D$2:$D$965=D187)*($E$2:$E$965=E187)*($F$2:$F$965=F187)*($G$2:$G$965=G187)*($H$2:$H$965=H187)*($I$2:$I$965=I187)*($J$2:$J$965=J187)*($K$2:$K$965=K187)*($N$2:$N$965=N187))=1,"خیر",IF(SUMPRODUCT(($B$2:B187=B187)*($C$2:C187=C187)*($D$2:D187=D187)*($E$2:E187=E187)*($F$2:F187=F187)*($G$2:G187=G187)*($H$2:H187=H187)*($I$2:I187=I187)*($J$2:J187=J187)*($K$2:K187=K187)*($N$2:N187=N187))=1,"بله-1","بله")))</f>
        <v>خیر</v>
      </c>
      <c r="P187" s="5" t="str" cm="1">
        <f t="array" ref="P187">IF(A187="","",IF(SUMPRODUCT(($F$2:$F$969=F187)*($I$2:$I$969=I187))=1,"خیر",IF(SUMPRODUCT(($F$2:F187=F187)*($I$2:I187=I187))=1,"بله-1","بله")))</f>
        <v>خیر</v>
      </c>
    </row>
    <row r="188" spans="1:16" ht="18.75" x14ac:dyDescent="0.25">
      <c r="A188" s="2" t="s">
        <v>865</v>
      </c>
      <c r="B188" s="2" t="s">
        <v>632</v>
      </c>
      <c r="C188" s="2" t="s">
        <v>633</v>
      </c>
      <c r="D188" s="2" t="s">
        <v>42</v>
      </c>
      <c r="E188" s="2" t="s">
        <v>43</v>
      </c>
      <c r="F188" s="2" t="s">
        <v>866</v>
      </c>
      <c r="G188" s="2" t="s">
        <v>867</v>
      </c>
      <c r="H188" s="2" t="s">
        <v>348</v>
      </c>
      <c r="I188" s="2" t="s">
        <v>868</v>
      </c>
      <c r="J188" s="2" t="s">
        <v>869</v>
      </c>
      <c r="K188" s="2" t="s">
        <v>605</v>
      </c>
      <c r="L188" s="3">
        <f>IF(OR(TRIM(I188)="",TRIM(K188)=""),"",IFERROR((VALUE(LEFT(TRIM(I188),4))-VALUE(LEFT(TRIM(K188),4)))*12+VALUE(MID(TRIM(I188),6,2))-VALUE(MID(TRIM(K188),6,2)),""))</f>
        <v>10</v>
      </c>
      <c r="M188" s="2" t="str">
        <f>IF(TRIM(H188)="","",IFERROR(LOOKUP(2,1/(ISNUMBER(SEARCH('منطق دسته‌بندی'!$A$2:$A$187,H188))),'منطق دسته‌بندی'!$B$2:$B$187),"سایر (نیازمند بررسی دستی)"))</f>
        <v>نشتی - شیلنگ (تعمیر/آب‌بندی)</v>
      </c>
      <c r="N188" s="2" t="s">
        <v>24</v>
      </c>
      <c r="O188" s="2" t="str" cm="1">
        <f t="array" ref="O188">IF(A188="","",IF(SUMPRODUCT(($B$2:$B$965=B188)*($C$2:$C$965=C188)*($D$2:$D$965=D188)*($E$2:$E$965=E188)*($F$2:$F$965=F188)*($G$2:$G$965=G188)*($H$2:$H$965=H188)*($I$2:$I$965=I188)*($J$2:$J$965=J188)*($K$2:$K$965=K188)*($N$2:$N$965=N188))=1,"خیر",IF(SUMPRODUCT(($B$2:B188=B188)*($C$2:C188=C188)*($D$2:D188=D188)*($E$2:E188=E188)*($F$2:F188=F188)*($G$2:G188=G188)*($H$2:H188=H188)*($I$2:I188=I188)*($J$2:J188=J188)*($K$2:K188=K188)*($N$2:N188=N188))=1,"بله-1","بله")))</f>
        <v>خیر</v>
      </c>
      <c r="P188" s="5" t="str" cm="1">
        <f t="array" ref="P188">IF(A188="","",IF(SUMPRODUCT(($F$2:$F$969=F188)*($I$2:$I$969=I188))=1,"خیر",IF(SUMPRODUCT(($F$2:F188=F188)*($I$2:I188=I188))=1,"بله-1","بله")))</f>
        <v>خیر</v>
      </c>
    </row>
    <row r="189" spans="1:16" ht="18.75" x14ac:dyDescent="0.25">
      <c r="A189" s="2" t="s">
        <v>1231</v>
      </c>
      <c r="B189" s="2" t="s">
        <v>1040</v>
      </c>
      <c r="C189" s="2" t="s">
        <v>1041</v>
      </c>
      <c r="D189" s="2" t="s">
        <v>42</v>
      </c>
      <c r="E189" s="2" t="s">
        <v>1057</v>
      </c>
      <c r="F189" s="2" t="s">
        <v>1232</v>
      </c>
      <c r="G189" s="2" t="s">
        <v>1233</v>
      </c>
      <c r="H189" s="2" t="s">
        <v>1084</v>
      </c>
      <c r="I189" s="2" t="s">
        <v>1220</v>
      </c>
      <c r="J189" s="2" t="s">
        <v>1140</v>
      </c>
      <c r="K189" s="2" t="s">
        <v>187</v>
      </c>
      <c r="L189" s="3">
        <f>IF(OR(TRIM(I189)="",TRIM(K189)=""),"",IFERROR((VALUE(LEFT(TRIM(I189),4))-VALUE(LEFT(TRIM(K189),4)))*12+VALUE(MID(TRIM(I189),6,2))-VALUE(MID(TRIM(K189),6,2)),""))</f>
        <v>15</v>
      </c>
      <c r="M189" s="2" t="str">
        <f>IF(TRIM(H189)="","",IFERROR(LOOKUP(2,1/(ISNUMBER(SEARCH('منطق دسته‌بندی'!$A$2:$A$187,H189))),'منطق دسته‌بندی'!$B$2:$B$187),"سایر (نیازمند بررسی دستی)"))</f>
        <v>زنگ‌زدگی بدنه/قطعه (تعویض)</v>
      </c>
      <c r="N189" s="2" t="s">
        <v>1085</v>
      </c>
      <c r="O189" s="2" t="str" cm="1">
        <f t="array" ref="O189">IF(A189="","",IF(SUMPRODUCT(($B$2:$B$965=B189)*($C$2:$C$965=C189)*($D$2:$D$965=D189)*($E$2:$E$965=E189)*($F$2:$F$965=F189)*($G$2:$G$965=G189)*($H$2:$H$965=H189)*($I$2:$I$965=I189)*($J$2:$J$965=J189)*($K$2:$K$965=K189)*($N$2:$N$965=N189))=1,"خیر",IF(SUMPRODUCT(($B$2:B189=B189)*($C$2:C189=C189)*($D$2:D189=D189)*($E$2:E189=E189)*($F$2:F189=F189)*($G$2:G189=G189)*($H$2:H189=H189)*($I$2:I189=I189)*($J$2:J189=J189)*($K$2:K189=K189)*($N$2:N189=N189))=1,"بله-1","بله")))</f>
        <v>خیر</v>
      </c>
      <c r="P189" s="5" t="str" cm="1">
        <f t="array" ref="P189">IF(A189="","",IF(SUMPRODUCT(($F$2:$F$969=F189)*($I$2:$I$969=I189))=1,"خیر",IF(SUMPRODUCT(($F$2:F189=F189)*($I$2:I189=I189))=1,"بله-1","بله")))</f>
        <v>خیر</v>
      </c>
    </row>
    <row r="190" spans="1:16" ht="18.75" x14ac:dyDescent="0.25">
      <c r="A190" s="2" t="s">
        <v>146</v>
      </c>
      <c r="B190" s="2" t="s">
        <v>16</v>
      </c>
      <c r="C190" s="2" t="s">
        <v>17</v>
      </c>
      <c r="D190" s="2" t="s">
        <v>42</v>
      </c>
      <c r="E190" s="2" t="s">
        <v>43</v>
      </c>
      <c r="F190" s="2" t="s">
        <v>147</v>
      </c>
      <c r="G190" s="2" t="s">
        <v>148</v>
      </c>
      <c r="H190" s="2" t="s">
        <v>149</v>
      </c>
      <c r="I190" s="2" t="s">
        <v>47</v>
      </c>
      <c r="J190" s="2" t="s">
        <v>74</v>
      </c>
      <c r="K190" s="2" t="s">
        <v>150</v>
      </c>
      <c r="L190" s="3">
        <f>IF(OR(TRIM(I190)="",TRIM(K190)=""),"",IFERROR((VALUE(LEFT(TRIM(I190),4))-VALUE(LEFT(TRIM(K190),4)))*12+VALUE(MID(TRIM(I190),6,2))-VALUE(MID(TRIM(K190),6,2)),""))</f>
        <v>2</v>
      </c>
      <c r="M190" s="2" t="str">
        <f>IF(TRIM(H190)="","",IFERROR(LOOKUP(2,1/(ISNUMBER(SEARCH('منطق دسته‌بندی'!$A$2:$A$187,H190))),'منطق دسته‌بندی'!$B$2:$B$187),"سایر (نیازمند بررسی دستی)"))</f>
        <v>خرابی - شیربرقی (تعویض)</v>
      </c>
      <c r="N190" s="2" t="s">
        <v>151</v>
      </c>
      <c r="O190" s="2" t="str" cm="1">
        <f t="array" ref="O190">IF(A190="","",IF(SUMPRODUCT(($B$2:$B$965=B190)*($C$2:$C$965=C190)*($D$2:$D$965=D190)*($E$2:$E$965=E190)*($F$2:$F$965=F190)*($G$2:$G$965=G190)*($H$2:$H$965=H190)*($I$2:$I$965=I190)*($J$2:$J$965=J190)*($K$2:$K$965=K190)*($N$2:$N$965=N190))=1,"خیر",IF(SUMPRODUCT(($B$2:B190=B190)*($C$2:C190=C190)*($D$2:D190=D190)*($E$2:E190=E190)*($F$2:F190=F190)*($G$2:G190=G190)*($H$2:H190=H190)*($I$2:I190=I190)*($J$2:J190=J190)*($K$2:K190=K190)*($N$2:N190=N190))=1,"بله-1","بله")))</f>
        <v>خیر</v>
      </c>
      <c r="P190" s="5" t="str" cm="1">
        <f t="array" ref="P190">IF(A190="","",IF(SUMPRODUCT(($F$2:$F$969=F190)*($I$2:$I$969=I190))=1,"خیر",IF(SUMPRODUCT(($F$2:F190=F190)*($I$2:I190=I190))=1,"بله-1","بله")))</f>
        <v>خیر</v>
      </c>
    </row>
    <row r="191" spans="1:16" ht="37.5" x14ac:dyDescent="0.25">
      <c r="A191" s="2">
        <v>210025755</v>
      </c>
      <c r="B191" s="2" t="s">
        <v>1950</v>
      </c>
      <c r="C191" s="2" t="s">
        <v>1951</v>
      </c>
      <c r="D191" s="2" t="s">
        <v>2019</v>
      </c>
      <c r="E191" s="2" t="s">
        <v>43</v>
      </c>
      <c r="F191" s="2" t="s">
        <v>1957</v>
      </c>
      <c r="G191" s="2" t="s">
        <v>1436</v>
      </c>
      <c r="H191" s="2" t="s">
        <v>1986</v>
      </c>
      <c r="I191" s="2" t="s">
        <v>1997</v>
      </c>
      <c r="J191" s="2" t="s">
        <v>324</v>
      </c>
      <c r="K191" s="2" t="s">
        <v>888</v>
      </c>
      <c r="L191" s="3">
        <f>IF(OR(TRIM(I191)="",TRIM(K191)=""),"",IFERROR((VALUE(LEFT(TRIM(I191),4))-VALUE(LEFT(TRIM(K191),4)))*12+VALUE(MID(TRIM(I191),6,2))-VALUE(MID(TRIM(K191),6,2)),""))</f>
        <v>3</v>
      </c>
      <c r="M191" s="2" t="str">
        <f>IF(OR(ISNUMBER(SEARCH("بدون مورد",H191)),ISNUMBER(SEARCH("غير گارانتي",H191)),ISNUMBER(SEARCH("غیر گارانتی",H191)),ISNUMBER(SEARCH("بدون اجرت",H191)),ISNUMBER(SEARCH("فيلتر",H191)),ISNUMBER(SEARCH("فیلتر",H191))),"غیرگارانتی/بدون قطعه",IF(OR(ISNUMBER(SEARCH("ريست",H191)),ISNUMBER(SEARCH("ریست",H191))),"ریست نرم‌افزاری (بدون قطعه)",IF(OR(ISNUMBER(SEARCH("تعویض محصول",H191)),ISNUMBER(SEARCH("تعویض دستگاه",H191))),"تعویض کامل دستگاه (Replacement)",IF(ISNUMBER(SEARCH("پمپ",H191)),IF(ISNUMBER(SEARCH("نشت",H191)),"نشتی - پمپ تخلیه (تعمیر/آب‌بندی)","خرابی - پمپ تخلیه (تعویض)"),IF(ISNUMBER(SEARCH("کمپرسور",H191)),"خرابی - کمپرسور (تعویض)",IF(ISNUMBER(SEARCH("کمک فنر",H191)),"خرابی - کمک فنر (تعویض)",IF(ISNUMBER(SEARCH("لولا",H191)),"مکانیزم درب - لولا (تعویض)",IF(OR(ISNUMBER(SEARCH("قلاب",H191)),ISNUMBER(SEARCH("ميکروسوئيچ",H191)),ISNUMBER(SEARCH("میکروسوئیچ",H191))),"مکانیزم درب - میکروسوئیچ/قلاب (تعویض/تنظیم)",IF(ISNUMBER(SEARCH("زبانه",H191)),"مکانیزم درب - زبانه (تعویض)",IF(OR(ISNUMBER(SEARCH("شيلنگ",H191)),ISNUMBER(SEARCH("شیلنگ",H191))),IF(OR(ISNUMBER(SEARCH("نشتی",H191)),ISNUMBER(SEARCH("نشتي",H191))),"نشتی - شیلنگ (تعمیر/آب‌بندی)",IF(OR(ISNUMBER(SEARCH("يخ",H191)),ISNUMBER(SEARCH("یخ",H191))),"شیلنگ یخساز - یخ‌زدگی (بازبینی)","شیلنگ - برخورد/لهیدگی (بازبینی)")),IF(OR(ISNUMBER(SEARCH("تنظيم ديسپل",H191)),ISNUMBER(SEARCH("تنظیم دیسپل",H191)),ISNUMBER(SEARCH("تنظيم صفحه نمايش",H191)),ISNUMBER(SEARCH("تنظیم صفحه نمایش",H191))),"تنظیم - تنظیمات دستگاه/دیسپلی (تعمیر)",IF(OR(ISNUMBER(SEARCH("برد",H191)),ISNUMBER(SEARCH("سوکت",H191)),ISNUMBER(SEARCH("ديسپل",H191)),ISNUMBER(SEARCH("دیسپل",H191))),"خرابی - برد الکترونیک (تعویض)",IF(OR(ISNUMBER(SEARCH("يخساز",H191)),ISNUMBER(SEARCH("یخساز",H191)),ISNUMBER(SEARCH("دمپر",H191))),IF(OR(ISNUMBER(SEARCH("خرابی",H191)),ISNUMBER(SEARCH("خراب",H191)),ISNUMBER(SEARCH("عدم کارکرد",H191)),ISNUMBER(SEARCH("عدم عملکرد",H191))),"یخساز - خرابی موتور/سنسور/برد (تعویض)","یخساز - تنظیم/عایق (تعمیر)"),IF(OR(ISNUMBER(SEARCH("لاستيک",H191)),ISNUMBER(SEARCH("لاستیک",H191))),"لاستیک درزگیر - دفرمگی/پارگی (تعویض)",IF(OR(ISNUMBER(SEARCH("گسکت",H191)),ISNUMBER(SEARCH("گسگت",H191))),"لاستیک درزگیر - دفرمگی/پارگی (تعویض)",IF(ISNUMBER(SEARCH("مخزن نمک",H191)),"نشتی - درب مخزن نمک (تعمیر/آب‌بندی)",IF(ISNUMBER(SEARCH("براکت",H191)),"نشتی - براکت ریل (تعمیر/آب‌بندی)",IF(ISNUMBER(SEARCH("جاپودر",H191)),"نشتی - جاپودری (تعمیر/آب‌بندی)",IF(ISNUMBER(SEARCH("مقسم",H191)),"نشتی - مقسم آب (تعمیر/آب‌بندی)",IF(OR(ISNUMBER(SEARCH("سنسور دما",H191)),ISNUMBER(SEARCH("ترموستات",H191))),"خرابی - ترموستات (تعویض)",IF(OR(ISNUMBER(SEARCH("هيدروستات",H191)),ISNUMBER(SEARCH("هیدروستات",H191))),"خرابی - هیدروستات (تعویض)",IF(OR(ISNUMBER(SEARCH("بلبرينگ",H191)),ISNUMBER(SEARCH("بلبرینگ",H191))),"خرابی - بلبرینگ (تعویض)",IF(OR(ISNUMBER(SEARCH("شيربرق",H191)),ISNUMBER(SEARCH("شیربرق",H191))),"خرابی - شیربرقی (تعویض)",IF(OR(ISNUMBER(SEARCH("واتر جت",H191)),ISNUMBER(SEARCH("واترجت",H191))),"خرابی - واترجت (تعویض)",IF(OR(ISNUMBER(SEARCH("سيم",H191)),ISNUMBER(SEARCH("سیم",H191)),ISNUMBER(SEARCH("اتصال",H191))),"سیم‌کشی/اتصالات (تعویض/بازبینی)",IF(OR(ISNUMBER(SEARCH("تصوير",H191)),ISNUMBER(SEARCH("تصویر",H191))),"برد نمایش تلویزیون (تعویض)",IF(OR(ISNUMBER(SEARCH("ريموت",H191)),ISNUMBER(SEARCH("ریموت",H191))),"ریموت کنترل (تعویض/تعمیر)",IF(OR(ISNUMBER(SEARCH("ال اي دي",H191)),ISNUMBER(SEARCH("ال ای دی",H191)),ISNUMBER(SEARCH("LED",H191))),"خرابی - لامپ/LED داخلی (تعویض)",IF(ISNUMBER(SEARCH("زنگ زدگ",H191)),"زنگ‌زدگی بدنه/قطعه (تعویض)",IF(OR(ISNUMBER(SEARCH("قطعات تزئين",H191)),ISNUMBER(SEARCH("قطعات تزئین",H191))),"قطعات تزئینی - شکستگی/کسری (تعویض)",IF(ISNUMBER(SEARCH("سبد",H191)),"سبد ظرفشویی - شکستگی (تعویض)",IF(ISNUMBER(SEARCH("تاب درام",H191)),"خرابی - تاب برداشتن درام (تعویض)",IF(ISNUMBER(SEARCH("درام",H191)),"خرابی - سایر ایراد درام (تعویض)",IF(ISNUMBER(SEARCH("موتور",H191)),"خرابی - موتور (تعویض)",IF(ISNUMBER(SEARCH("تسمه",H191)),"خرابی - تسمه (تعویض)",IF(OR(ISNUMBER(SEARCH("پيچ ولوم",H191)),ISNUMBER(SEARCH("پیچ ولوم",H191))),"تنظیم - پیچ ولوم/دکمه (تعمیر)",IF(OR(ISNUMBER(SEARCH("کسري قطعات",H191)),ISNUMBER(SEARCH("کسری قطعات",H191))),"کسری قطعات تزئینی (تعویض)",IF(ISNUMBER(SEARCH("پرچ",H191)),"پرچ/بدنه کابین(تعمیر)",IF(OR(ISNUMBER(SEARCH("نشت",H191)),ISNUMBER(SEARCH("آبريزش",H191)),ISNUMBER(SEARCH("آبریزش",H191))),"نشتی آب - محل نامشخص (نیازمند بازدید)",IF(ISNUMBER(SEARCH("درب",H191)),"سایر اجزای درب (بازبینی)",IF(ISNUMBER(SEARCH("ضربه",H191)),"بدنه/کابین - ضربه (بازبینی/تعویض پنل)",IF(ISNUMBER(SEARCH("تراز",H191)),"تراز/لرزش - نصب (رگلاژ پایه)",IF(OR(ISNUMBER(SEARCH("تعویض",H191)),ISNUMBER(SEARCH("تعويض",H191))),"تعویض کامل دستگاه (Replacement)","سایر (نیازمند بررسی دستی)")))))))))))))))))))))))))))))))))))))))))))</f>
        <v>مکانیزم درب - میکروسوئیچ/قلاب (تعویض/تنظیم)</v>
      </c>
      <c r="N191" s="2" t="s">
        <v>2012</v>
      </c>
      <c r="O191" s="2" t="str" cm="1">
        <f t="array" ref="O191">IF(A191="","",IF(SUMPRODUCT(($B$2:$B$965=B191)*($C$2:$C$965=C191)*($D$2:$D$965=D191)*($E$2:$E$965=E191)*($F$2:$F$965=F191)*($G$2:$G$965=G191)*($H$2:$H$965=H191)*($I$2:$I$965=I191)*($J$2:$J$965=J191)*($K$2:$K$965=K191)*($N$2:$N$965=N191))=1,"خیر",IF(SUMPRODUCT(($B$2:B191=B191)*($C$2:C191=C191)*($D$2:D191=D191)*($E$2:E191=E191)*($F$2:F191=F191)*($G$2:G191=G191)*($H$2:H191=H191)*($I$2:I191=I191)*($J$2:J191=J191)*($K$2:K191=K191)*($N$2:N191=N191))=1,"بله-1","بله")))</f>
        <v>خیر</v>
      </c>
      <c r="P191" s="5" t="str" cm="1">
        <f t="array" ref="P191">IF(A191="","",IF(SUMPRODUCT(($F$2:$F$969=F191)*($I$2:$I$969=I191))=1,"خیر",IF(SUMPRODUCT(($F$2:F191=F191)*($I$2:I191=I191))=1,"بله-1","بله")))</f>
        <v>خیر</v>
      </c>
    </row>
    <row r="192" spans="1:16" ht="18.75" x14ac:dyDescent="0.25">
      <c r="A192" s="2">
        <v>210024454</v>
      </c>
      <c r="B192" s="2" t="s">
        <v>1950</v>
      </c>
      <c r="C192" s="2" t="s">
        <v>1951</v>
      </c>
      <c r="D192" s="2" t="s">
        <v>42</v>
      </c>
      <c r="E192" s="2" t="s">
        <v>1057</v>
      </c>
      <c r="F192" s="2" t="s">
        <v>1514</v>
      </c>
      <c r="G192" s="2" t="s">
        <v>1383</v>
      </c>
      <c r="H192" s="18" t="s">
        <v>221</v>
      </c>
      <c r="I192" s="2" t="s">
        <v>1399</v>
      </c>
      <c r="J192" s="2" t="s">
        <v>655</v>
      </c>
      <c r="K192" s="2" t="s">
        <v>1515</v>
      </c>
      <c r="L192" s="3">
        <f>IF(OR(TRIM(I192)="",TRIM(K192)=""),"",IFERROR((VALUE(LEFT(TRIM(I192),4))-VALUE(LEFT(TRIM(K192),4)))*12+VALUE(MID(TRIM(I192),6,2))-VALUE(MID(TRIM(K192),6,2)),""))</f>
        <v>19</v>
      </c>
      <c r="M192" s="2" t="str">
        <f>IF(TRIM(H192)="","",IFERROR(LOOKUP(2,1/(ISNUMBER(SEARCH('منطق دسته‌بندی'!$A$2:$A$187,H192))),'منطق دسته‌بندی'!$B$2:$B$187),"سایر (نیازمند بررسی دستی)"))</f>
        <v>نشتی - پمپ تخلیه (تعمیر/آب‌بندی)</v>
      </c>
      <c r="N192" s="2" t="s">
        <v>2025</v>
      </c>
      <c r="O192" s="2" t="str" cm="1">
        <f t="array" ref="O192">IF(A192="","",IF(SUMPRODUCT(($B$2:$B$965=B192)*($C$2:$C$965=C192)*($D$2:$D$965=D192)*($E$2:$E$965=E192)*($F$2:$F$965=F192)*($G$2:$G$965=G192)*($H$2:$H$965=H192)*($I$2:$I$965=I192)*($J$2:$J$965=J192)*($K$2:$K$965=K192)*($N$2:$N$965=N192))=1,"خیر",IF(SUMPRODUCT(($B$2:B192=B192)*($C$2:C192=C192)*($D$2:D192=D192)*($E$2:E192=E192)*($F$2:F192=F192)*($G$2:G192=G192)*($H$2:H192=H192)*($I$2:I192=I192)*($J$2:J192=J192)*($K$2:K192=K192)*($N$2:N192=N192))=1,"بله-1","بله")))</f>
        <v>خیر</v>
      </c>
      <c r="P192" s="5" t="str" cm="1">
        <f t="array" ref="P192">IF(A192="","",IF(SUMPRODUCT(($F$2:$F$969=F192)*($I$2:$I$969=I192))=1,"خیر",IF(SUMPRODUCT(($F$2:F192=F192)*($I$2:I192=I192))=1,"بله-1","بله")))</f>
        <v>خیر</v>
      </c>
    </row>
    <row r="193" spans="1:16" ht="18.75" x14ac:dyDescent="0.25">
      <c r="A193" s="2">
        <v>510024629</v>
      </c>
      <c r="B193" s="2" t="s">
        <v>1040</v>
      </c>
      <c r="C193" s="2" t="s">
        <v>1041</v>
      </c>
      <c r="D193" s="2" t="s">
        <v>42</v>
      </c>
      <c r="E193" s="2" t="s">
        <v>1057</v>
      </c>
      <c r="F193" s="2" t="s">
        <v>1509</v>
      </c>
      <c r="G193" s="2" t="s">
        <v>1510</v>
      </c>
      <c r="H193" s="18" t="s">
        <v>1891</v>
      </c>
      <c r="I193" s="2" t="s">
        <v>1434</v>
      </c>
      <c r="J193" s="2" t="s">
        <v>173</v>
      </c>
      <c r="K193" s="2" t="s">
        <v>674</v>
      </c>
      <c r="L193" s="3">
        <f>IF(OR(TRIM(I193)="",TRIM(K193)=""),"",IFERROR((VALUE(LEFT(TRIM(I193),4))-VALUE(LEFT(TRIM(K193),4)))*12+VALUE(MID(TRIM(I193),6,2))-VALUE(MID(TRIM(K193),6,2)),""))</f>
        <v>12</v>
      </c>
      <c r="M193" s="2" t="str">
        <f>IF(TRIM(H193)="","",IFERROR(LOOKUP(2,1/(ISNUMBER(SEARCH('منطق دسته‌بندی'!$A$2:$A$187,H193))),'منطق دسته‌بندی'!$B$2:$B$187),"سایر (نیازمند بررسی دستی)"))</f>
        <v>تنظیم - تنظیمات دستگاه/دیسپلی (تعمیر)</v>
      </c>
      <c r="N193" s="2" t="s">
        <v>1381</v>
      </c>
      <c r="O193" s="2" t="str" cm="1">
        <f t="array" ref="O193">IF(A193="","",IF(SUMPRODUCT(($B$2:$B$965=B193)*($C$2:$C$965=C193)*($D$2:$D$965=D193)*($E$2:$E$965=E193)*($F$2:$F$965=F193)*($G$2:$G$965=G193)*($H$2:$H$965=H193)*($I$2:$I$965=I193)*($J$2:$J$965=J193)*($K$2:$K$965=K193)*($N$2:$N$965=N193))=1,"خیر",IF(SUMPRODUCT(($B$2:B193=B193)*($C$2:C193=C193)*($D$2:D193=D193)*($E$2:E193=E193)*($F$2:F193=F193)*($G$2:G193=G193)*($H$2:H193=H193)*($I$2:I193=I193)*($J$2:J193=J193)*($K$2:K193=K193)*($N$2:N193=N193))=1,"بله-1","بله")))</f>
        <v>خیر</v>
      </c>
      <c r="P193" s="5" t="str" cm="1">
        <f t="array" ref="P193">IF(A193="","",IF(SUMPRODUCT(($F$2:$F$969=F193)*($I$2:$I$969=I193))=1,"خیر",IF(SUMPRODUCT(($F$2:F193=F193)*($I$2:I193=I193))=1,"بله-1","بله")))</f>
        <v>خیر</v>
      </c>
    </row>
    <row r="194" spans="1:16" ht="18.75" x14ac:dyDescent="0.25">
      <c r="A194" s="2">
        <v>510024193</v>
      </c>
      <c r="B194" s="2" t="s">
        <v>1040</v>
      </c>
      <c r="C194" s="2" t="s">
        <v>1041</v>
      </c>
      <c r="D194" s="2" t="s">
        <v>42</v>
      </c>
      <c r="E194" s="2" t="s">
        <v>1057</v>
      </c>
      <c r="F194" s="2" t="s">
        <v>1505</v>
      </c>
      <c r="G194" s="2" t="s">
        <v>1364</v>
      </c>
      <c r="H194" s="18" t="s">
        <v>1891</v>
      </c>
      <c r="I194" s="2" t="s">
        <v>1506</v>
      </c>
      <c r="J194" s="2" t="s">
        <v>863</v>
      </c>
      <c r="K194" s="2" t="s">
        <v>1507</v>
      </c>
      <c r="L194" s="3">
        <f>IF(OR(TRIM(I194)="",TRIM(K194)=""),"",IFERROR((VALUE(LEFT(TRIM(I194),4))-VALUE(LEFT(TRIM(K194),4)))*12+VALUE(MID(TRIM(I194),6,2))-VALUE(MID(TRIM(K194),6,2)),""))</f>
        <v>19</v>
      </c>
      <c r="M194" s="2" t="str">
        <f>IF(TRIM(H194)="","",IFERROR(LOOKUP(2,1/(ISNUMBER(SEARCH('منطق دسته‌بندی'!$A$2:$A$187,H194))),'منطق دسته‌بندی'!$B$2:$B$187),"سایر (نیازمند بررسی دستی)"))</f>
        <v>تنظیم - تنظیمات دستگاه/دیسپلی (تعمیر)</v>
      </c>
      <c r="N194" s="2" t="s">
        <v>1381</v>
      </c>
      <c r="O194" s="2" t="str" cm="1">
        <f t="array" ref="O194">IF(A194="","",IF(SUMPRODUCT(($B$2:$B$965=B194)*($C$2:$C$965=C194)*($D$2:$D$965=D194)*($E$2:$E$965=E194)*($F$2:$F$965=F194)*($G$2:$G$965=G194)*($H$2:$H$965=H194)*($I$2:$I$965=I194)*($J$2:$J$965=J194)*($K$2:$K$965=K194)*($N$2:$N$965=N194))=1,"خیر",IF(SUMPRODUCT(($B$2:B194=B194)*($C$2:C194=C194)*($D$2:D194=D194)*($E$2:E194=E194)*($F$2:F194=F194)*($G$2:G194=G194)*($H$2:H194=H194)*($I$2:I194=I194)*($J$2:J194=J194)*($K$2:K194=K194)*($N$2:N194=N194))=1,"بله-1","بله")))</f>
        <v>خیر</v>
      </c>
      <c r="P194" s="5" t="str" cm="1">
        <f t="array" ref="P194">IF(A194="","",IF(SUMPRODUCT(($F$2:$F$969=F194)*($I$2:$I$969=I194))=1,"خیر",IF(SUMPRODUCT(($F$2:F194=F194)*($I$2:I194=I194))=1,"بله-1","بله")))</f>
        <v>خیر</v>
      </c>
    </row>
    <row r="195" spans="1:16" ht="18.75" x14ac:dyDescent="0.25">
      <c r="A195" s="2" t="s">
        <v>1137</v>
      </c>
      <c r="B195" s="2" t="s">
        <v>1040</v>
      </c>
      <c r="C195" s="2" t="s">
        <v>1041</v>
      </c>
      <c r="D195" s="2" t="s">
        <v>42</v>
      </c>
      <c r="E195" s="2" t="s">
        <v>1057</v>
      </c>
      <c r="F195" s="2" t="s">
        <v>1138</v>
      </c>
      <c r="G195" s="2" t="s">
        <v>1139</v>
      </c>
      <c r="H195" s="18" t="s">
        <v>1891</v>
      </c>
      <c r="I195" s="2" t="s">
        <v>1128</v>
      </c>
      <c r="J195" s="2" t="s">
        <v>395</v>
      </c>
      <c r="K195" s="2" t="s">
        <v>1140</v>
      </c>
      <c r="L195" s="3">
        <f>IF(OR(TRIM(I195)="",TRIM(K195)=""),"",IFERROR((VALUE(LEFT(TRIM(I195),4))-VALUE(LEFT(TRIM(K195),4)))*12+VALUE(MID(TRIM(I195),6,2))-VALUE(MID(TRIM(K195),6,2)),""))</f>
        <v>18</v>
      </c>
      <c r="M195" s="2" t="str">
        <f>IF(TRIM(H195)="","",IFERROR(LOOKUP(2,1/(ISNUMBER(SEARCH('منطق دسته‌بندی'!$A$2:$A$187,H195))),'منطق دسته‌بندی'!$B$2:$B$187),"سایر (نیازمند بررسی دستی)"))</f>
        <v>تنظیم - تنظیمات دستگاه/دیسپلی (تعمیر)</v>
      </c>
      <c r="N195" s="2" t="s">
        <v>24</v>
      </c>
      <c r="O195" s="2" t="str" cm="1">
        <f t="array" ref="O195">IF(A195="","",IF(SUMPRODUCT(($B$2:$B$965=B195)*($C$2:$C$965=C195)*($D$2:$D$965=D195)*($E$2:$E$965=E195)*($F$2:$F$965=F195)*($G$2:$G$965=G195)*($H$2:$H$965=H195)*($I$2:$I$965=I195)*($J$2:$J$965=J195)*($K$2:$K$965=K195)*($N$2:$N$965=N195))=1,"خیر",IF(SUMPRODUCT(($B$2:B195=B195)*($C$2:C195=C195)*($D$2:D195=D195)*($E$2:E195=E195)*($F$2:F195=F195)*($G$2:G195=G195)*($H$2:H195=H195)*($I$2:I195=I195)*($J$2:J195=J195)*($K$2:K195=K195)*($N$2:N195=N195))=1,"بله-1","بله")))</f>
        <v>خیر</v>
      </c>
      <c r="P195" s="5" t="str" cm="1">
        <f t="array" ref="P195">IF(A195="","",IF(SUMPRODUCT(($F$2:$F$969=F195)*($I$2:$I$969=I195))=1,"خیر",IF(SUMPRODUCT(($F$2:F195=F195)*($I$2:I195=I195))=1,"بله-1","بله")))</f>
        <v>خیر</v>
      </c>
    </row>
    <row r="196" spans="1:16" ht="18.75" x14ac:dyDescent="0.25">
      <c r="A196" s="2" t="s">
        <v>426</v>
      </c>
      <c r="B196" s="2" t="s">
        <v>16</v>
      </c>
      <c r="C196" s="2" t="s">
        <v>17</v>
      </c>
      <c r="D196" s="2" t="s">
        <v>42</v>
      </c>
      <c r="E196" s="2" t="s">
        <v>43</v>
      </c>
      <c r="F196" s="2" t="s">
        <v>427</v>
      </c>
      <c r="G196" s="2" t="s">
        <v>194</v>
      </c>
      <c r="H196" s="11" t="s">
        <v>162</v>
      </c>
      <c r="I196" s="2" t="s">
        <v>415</v>
      </c>
      <c r="J196" s="2" t="s">
        <v>246</v>
      </c>
      <c r="K196" s="2" t="s">
        <v>428</v>
      </c>
      <c r="L196" s="3">
        <f>IF(OR(TRIM(I196)="",TRIM(K196)=""),"",IFERROR((VALUE(LEFT(TRIM(I196),4))-VALUE(LEFT(TRIM(K196),4)))*12+VALUE(MID(TRIM(I196),6,2))-VALUE(MID(TRIM(K196),6,2)),""))</f>
        <v>7</v>
      </c>
      <c r="M196" s="2" t="str">
        <f>IF(TRIM(H196)="","",IFERROR(LOOKUP(2,1/(ISNUMBER(SEARCH('منطق دسته‌بندی'!$A$2:$A$187,H196))),'منطق دسته‌بندی'!$B$2:$B$187),"سایر (نیازمند بررسی دستی)"))</f>
        <v>خرابی - پمپ تخلیه (تعویض)</v>
      </c>
      <c r="N196" s="2" t="s">
        <v>164</v>
      </c>
      <c r="O196" s="2" t="str" cm="1">
        <f t="array" ref="O196">IF(A196="","",IF(SUMPRODUCT(($B$2:$B$965=B196)*($C$2:$C$965=C196)*($D$2:$D$965=D196)*($E$2:$E$965=E196)*($F$2:$F$965=F196)*($G$2:$G$965=G196)*($H$2:$H$965=H196)*($I$2:$I$965=I196)*($J$2:$J$965=J196)*($K$2:$K$965=K196)*($N$2:$N$965=N196))=1,"خیر",IF(SUMPRODUCT(($B$2:B196=B196)*($C$2:C196=C196)*($D$2:D196=D196)*($E$2:E196=E196)*($F$2:F196=F196)*($G$2:G196=G196)*($H$2:H196=H196)*($I$2:I196=I196)*($J$2:J196=J196)*($K$2:K196=K196)*($N$2:N196=N196))=1,"بله-1","بله")))</f>
        <v>خیر</v>
      </c>
      <c r="P196" s="5" t="str" cm="1">
        <f t="array" ref="P196">IF(A196="","",IF(SUMPRODUCT(($F$2:$F$969=F196)*($I$2:$I$969=I196))=1,"خیر",IF(SUMPRODUCT(($F$2:F196=F196)*($I$2:I196=I196))=1,"بله-1","بله")))</f>
        <v>خیر</v>
      </c>
    </row>
    <row r="197" spans="1:16" ht="18.75" x14ac:dyDescent="0.25">
      <c r="A197" s="2" t="s">
        <v>929</v>
      </c>
      <c r="B197" s="2" t="s">
        <v>881</v>
      </c>
      <c r="C197" s="2" t="s">
        <v>882</v>
      </c>
      <c r="D197" s="2" t="s">
        <v>42</v>
      </c>
      <c r="E197" s="2" t="s">
        <v>43</v>
      </c>
      <c r="F197" s="2" t="s">
        <v>930</v>
      </c>
      <c r="G197" s="2" t="s">
        <v>114</v>
      </c>
      <c r="H197" s="2" t="s">
        <v>915</v>
      </c>
      <c r="I197" s="2" t="s">
        <v>919</v>
      </c>
      <c r="J197" s="2" t="s">
        <v>931</v>
      </c>
      <c r="K197" s="2" t="s">
        <v>335</v>
      </c>
      <c r="L197" s="3">
        <f>IF(OR(TRIM(I197)="",TRIM(K197)=""),"",IFERROR((VALUE(LEFT(TRIM(I197),4))-VALUE(LEFT(TRIM(K197),4)))*12+VALUE(MID(TRIM(I197),6,2))-VALUE(MID(TRIM(K197),6,2)),""))</f>
        <v>17</v>
      </c>
      <c r="M197" s="2" t="str">
        <f>IF(TRIM(H197)="","",IFERROR(LOOKUP(2,1/(ISNUMBER(SEARCH('منطق دسته‌بندی'!$A$2:$A$187,H197))),'منطق دسته‌بندی'!$B$2:$B$187),"سایر (نیازمند بررسی دستی)"))</f>
        <v>تنظیم - تنظیمات دستگاه/دیسپلی (تعمیر)</v>
      </c>
      <c r="N197" s="2" t="s">
        <v>75</v>
      </c>
      <c r="O197" s="2" t="str" cm="1">
        <f t="array" ref="O197">IF(A197="","",IF(SUMPRODUCT(($B$2:$B$965=B197)*($C$2:$C$965=C197)*($D$2:$D$965=D197)*($E$2:$E$965=E197)*($F$2:$F$965=F197)*($G$2:$G$965=G197)*($H$2:$H$965=H197)*($I$2:$I$965=I197)*($J$2:$J$965=J197)*($K$2:$K$965=K197)*($N$2:$N$965=N197))=1,"خیر",IF(SUMPRODUCT(($B$2:B197=B197)*($C$2:C197=C197)*($D$2:D197=D197)*($E$2:E197=E197)*($F$2:F197=F197)*($G$2:G197=G197)*($H$2:H197=H197)*($I$2:I197=I197)*($J$2:J197=J197)*($K$2:K197=K197)*($N$2:N197=N197))=1,"بله-1","بله")))</f>
        <v>خیر</v>
      </c>
      <c r="P197" s="5" t="str" cm="1">
        <f t="array" ref="P197">IF(A197="","",IF(SUMPRODUCT(($F$2:$F$969=F197)*($I$2:$I$969=I197))=1,"خیر",IF(SUMPRODUCT(($F$2:F197=F197)*($I$2:I197=I197))=1,"بله-1","بله")))</f>
        <v>خیر</v>
      </c>
    </row>
    <row r="198" spans="1:16" ht="37.5" x14ac:dyDescent="0.25">
      <c r="A198" s="2" t="s">
        <v>1141</v>
      </c>
      <c r="B198" s="2" t="s">
        <v>1040</v>
      </c>
      <c r="C198" s="2" t="s">
        <v>1041</v>
      </c>
      <c r="D198" s="2" t="s">
        <v>42</v>
      </c>
      <c r="E198" s="2" t="s">
        <v>1057</v>
      </c>
      <c r="F198" s="2" t="s">
        <v>1142</v>
      </c>
      <c r="G198" s="2" t="s">
        <v>257</v>
      </c>
      <c r="H198" s="2" t="s">
        <v>68</v>
      </c>
      <c r="I198" s="2" t="s">
        <v>1128</v>
      </c>
      <c r="J198" s="2" t="s">
        <v>1143</v>
      </c>
      <c r="K198" s="2" t="s">
        <v>1144</v>
      </c>
      <c r="L198" s="3">
        <f>IF(OR(TRIM(I198)="",TRIM(K198)=""),"",IFERROR((VALUE(LEFT(TRIM(I198),4))-VALUE(LEFT(TRIM(K198),4)))*12+VALUE(MID(TRIM(I198),6,2))-VALUE(MID(TRIM(K198),6,2)),""))</f>
        <v>17</v>
      </c>
      <c r="M198" s="2" t="str">
        <f>IF(TRIM(H198)="","",IFERROR(LOOKUP(2,1/(ISNUMBER(SEARCH('منطق دسته‌بندی'!$A$2:$A$187,H198))),'منطق دسته‌بندی'!$B$2:$B$187),"سایر (نیازمند بررسی دستی)"))</f>
        <v>مکانیزم درب - میکروسوئیچ/قلاب (تعویض/تنظیم)</v>
      </c>
      <c r="N198" s="2" t="s">
        <v>1059</v>
      </c>
      <c r="O198" s="2" t="str" cm="1">
        <f t="array" ref="O198">IF(A198="","",IF(SUMPRODUCT(($B$2:$B$965=B198)*($C$2:$C$965=C198)*($D$2:$D$965=D198)*($E$2:$E$965=E198)*($F$2:$F$965=F198)*($G$2:$G$965=G198)*($H$2:$H$965=H198)*($I$2:$I$965=I198)*($J$2:$J$965=J198)*($K$2:$K$965=K198)*($N$2:$N$965=N198))=1,"خیر",IF(SUMPRODUCT(($B$2:B198=B198)*($C$2:C198=C198)*($D$2:D198=D198)*($E$2:E198=E198)*($F$2:F198=F198)*($G$2:G198=G198)*($H$2:H198=H198)*($I$2:I198=I198)*($J$2:J198=J198)*($K$2:K198=K198)*($N$2:N198=N198))=1,"بله-1","بله")))</f>
        <v>خیر</v>
      </c>
      <c r="P198" s="5" t="str" cm="1">
        <f t="array" ref="P198">IF(A198="","",IF(SUMPRODUCT(($F$2:$F$969=F198)*($I$2:$I$969=I198))=1,"خیر",IF(SUMPRODUCT(($F$2:F198=F198)*($I$2:I198=I198))=1,"بله-1","بله")))</f>
        <v>خیر</v>
      </c>
    </row>
    <row r="199" spans="1:16" ht="18.75" x14ac:dyDescent="0.25">
      <c r="A199" s="2" t="s">
        <v>676</v>
      </c>
      <c r="B199" s="2" t="s">
        <v>632</v>
      </c>
      <c r="C199" s="2" t="s">
        <v>633</v>
      </c>
      <c r="D199" s="2" t="s">
        <v>42</v>
      </c>
      <c r="E199" s="2" t="s">
        <v>43</v>
      </c>
      <c r="F199" s="2" t="s">
        <v>677</v>
      </c>
      <c r="G199" s="2" t="s">
        <v>119</v>
      </c>
      <c r="H199" s="18" t="s">
        <v>221</v>
      </c>
      <c r="I199" s="2" t="s">
        <v>673</v>
      </c>
      <c r="J199" s="2" t="s">
        <v>636</v>
      </c>
      <c r="K199" s="2" t="s">
        <v>678</v>
      </c>
      <c r="L199" s="3">
        <f>IF(OR(TRIM(I199)="",TRIM(K199)=""),"",IFERROR((VALUE(LEFT(TRIM(I199),4))-VALUE(LEFT(TRIM(K199),4)))*12+VALUE(MID(TRIM(I199),6,2))-VALUE(MID(TRIM(K199),6,2)),""))</f>
        <v>14</v>
      </c>
      <c r="M199" s="2" t="str">
        <f>IF(TRIM(H199)="","",IFERROR(LOOKUP(2,1/(ISNUMBER(SEARCH('منطق دسته‌بندی'!$A$2:$A$187,H199))),'منطق دسته‌بندی'!$B$2:$B$187),"سایر (نیازمند بررسی دستی)"))</f>
        <v>نشتی - پمپ تخلیه (تعمیر/آب‌بندی)</v>
      </c>
      <c r="N199" s="2" t="s">
        <v>2025</v>
      </c>
      <c r="O199" s="2" t="str" cm="1">
        <f t="array" ref="O199">IF(A199="","",IF(SUMPRODUCT(($B$2:$B$965=B199)*($C$2:$C$965=C199)*($D$2:$D$965=D199)*($E$2:$E$965=E199)*($F$2:$F$965=F199)*($G$2:$G$965=G199)*($H$2:$H$965=H199)*($I$2:$I$965=I199)*($J$2:$J$965=J199)*($K$2:$K$965=K199)*($N$2:$N$965=N199))=1,"خیر",IF(SUMPRODUCT(($B$2:B199=B199)*($C$2:C199=C199)*($D$2:D199=D199)*($E$2:E199=E199)*($F$2:F199=F199)*($G$2:G199=G199)*($H$2:H199=H199)*($I$2:I199=I199)*($J$2:J199=J199)*($K$2:K199=K199)*($N$2:N199=N199))=1,"بله-1","بله")))</f>
        <v>خیر</v>
      </c>
      <c r="P199" s="5" t="str" cm="1">
        <f t="array" ref="P199">IF(A199="","",IF(SUMPRODUCT(($F$2:$F$969=F199)*($I$2:$I$969=I199))=1,"خیر",IF(SUMPRODUCT(($F$2:F199=F199)*($I$2:I199=I199))=1,"بله-1","بله")))</f>
        <v>خیر</v>
      </c>
    </row>
    <row r="200" spans="1:16" ht="18.75" x14ac:dyDescent="0.25">
      <c r="A200" s="2" t="s">
        <v>631</v>
      </c>
      <c r="B200" s="2" t="s">
        <v>632</v>
      </c>
      <c r="C200" s="2" t="s">
        <v>633</v>
      </c>
      <c r="D200" s="2" t="s">
        <v>42</v>
      </c>
      <c r="E200" s="2" t="s">
        <v>43</v>
      </c>
      <c r="F200" s="2" t="s">
        <v>634</v>
      </c>
      <c r="G200" s="2" t="s">
        <v>608</v>
      </c>
      <c r="H200" s="2" t="s">
        <v>333</v>
      </c>
      <c r="I200" s="2" t="s">
        <v>635</v>
      </c>
      <c r="J200" s="2" t="s">
        <v>636</v>
      </c>
      <c r="K200" s="2" t="s">
        <v>637</v>
      </c>
      <c r="L200" s="3">
        <f>IF(OR(TRIM(I200)="",TRIM(K200)=""),"",IFERROR((VALUE(LEFT(TRIM(I200),4))-VALUE(LEFT(TRIM(K200),4)))*12+VALUE(MID(TRIM(I200),6,2))-VALUE(MID(TRIM(K200),6,2)),""))</f>
        <v>10</v>
      </c>
      <c r="M200" s="2" t="str">
        <f>IF(TRIM(H200)="","",IFERROR(LOOKUP(2,1/(ISNUMBER(SEARCH('منطق دسته‌بندی'!$A$2:$A$187,H200))),'منطق دسته‌بندی'!$B$2:$B$187),"سایر (نیازمند بررسی دستی)"))</f>
        <v>ریست نرم‌افزاری (بدون قطعه)</v>
      </c>
      <c r="N200" s="2" t="s">
        <v>24</v>
      </c>
      <c r="O200" s="2" t="str" cm="1">
        <f t="array" ref="O200">IF(A200="","",IF(SUMPRODUCT(($B$2:$B$965=B200)*($C$2:$C$965=C200)*($D$2:$D$965=D200)*($E$2:$E$965=E200)*($F$2:$F$965=F200)*($G$2:$G$965=G200)*($H$2:$H$965=H200)*($I$2:$I$965=I200)*($J$2:$J$965=J200)*($K$2:$K$965=K200)*($N$2:$N$965=N200))=1,"خیر",IF(SUMPRODUCT(($B$2:B200=B200)*($C$2:C200=C200)*($D$2:D200=D200)*($E$2:E200=E200)*($F$2:F200=F200)*($G$2:G200=G200)*($H$2:H200=H200)*($I$2:I200=I200)*($J$2:J200=J200)*($K$2:K200=K200)*($N$2:N200=N200))=1,"بله-1","بله")))</f>
        <v>خیر</v>
      </c>
      <c r="P200" s="5" t="str" cm="1">
        <f t="array" ref="P200">IF(A200="","",IF(SUMPRODUCT(($F$2:$F$969=F200)*($I$2:$I$969=I200))=1,"خیر",IF(SUMPRODUCT(($F$2:F200=F200)*($I$2:I200=I200))=1,"بله-1","بله")))</f>
        <v>خیر</v>
      </c>
    </row>
    <row r="201" spans="1:16" ht="37.5" x14ac:dyDescent="0.25">
      <c r="A201" s="2" t="s">
        <v>1056</v>
      </c>
      <c r="B201" s="2" t="s">
        <v>1040</v>
      </c>
      <c r="C201" s="2" t="s">
        <v>1041</v>
      </c>
      <c r="D201" s="2" t="s">
        <v>42</v>
      </c>
      <c r="E201" s="2" t="s">
        <v>1057</v>
      </c>
      <c r="F201" s="2" t="s">
        <v>1058</v>
      </c>
      <c r="G201" s="2" t="s">
        <v>918</v>
      </c>
      <c r="H201" s="2" t="s">
        <v>68</v>
      </c>
      <c r="I201" s="2" t="s">
        <v>1044</v>
      </c>
      <c r="J201" s="2" t="s">
        <v>144</v>
      </c>
      <c r="K201" s="2" t="s">
        <v>656</v>
      </c>
      <c r="L201" s="3">
        <f>IF(OR(TRIM(I201)="",TRIM(K201)=""),"",IFERROR((VALUE(LEFT(TRIM(I201),4))-VALUE(LEFT(TRIM(K201),4)))*12+VALUE(MID(TRIM(I201),6,2))-VALUE(MID(TRIM(K201),6,2)),""))</f>
        <v>17</v>
      </c>
      <c r="M201" s="2" t="str">
        <f>IF(TRIM(H201)="","",IFERROR(LOOKUP(2,1/(ISNUMBER(SEARCH('منطق دسته‌بندی'!$A$2:$A$187,H201))),'منطق دسته‌بندی'!$B$2:$B$187),"سایر (نیازمند بررسی دستی)"))</f>
        <v>مکانیزم درب - میکروسوئیچ/قلاب (تعویض/تنظیم)</v>
      </c>
      <c r="N201" s="2" t="s">
        <v>1059</v>
      </c>
      <c r="O201" s="2" t="str" cm="1">
        <f t="array" ref="O201">IF(A201="","",IF(SUMPRODUCT(($B$2:$B$965=B201)*($C$2:$C$965=C201)*($D$2:$D$965=D201)*($E$2:$E$965=E201)*($F$2:$F$965=F201)*($G$2:$G$965=G201)*($H$2:$H$965=H201)*($I$2:$I$965=I201)*($J$2:$J$965=J201)*($K$2:$K$965=K201)*($N$2:$N$965=N201))=1,"خیر",IF(SUMPRODUCT(($B$2:B201=B201)*($C$2:C201=C201)*($D$2:D201=D201)*($E$2:E201=E201)*($F$2:F201=F201)*($G$2:G201=G201)*($H$2:H201=H201)*($I$2:I201=I201)*($J$2:J201=J201)*($K$2:K201=K201)*($N$2:N201=N201))=1,"بله-1","بله")))</f>
        <v>خیر</v>
      </c>
      <c r="P201" s="5" t="str" cm="1">
        <f t="array" ref="P201">IF(A201="","",IF(SUMPRODUCT(($F$2:$F$969=F201)*($I$2:$I$969=I201))=1,"خیر",IF(SUMPRODUCT(($F$2:F201=F201)*($I$2:I201=I201))=1,"بله-1","بله")))</f>
        <v>خیر</v>
      </c>
    </row>
    <row r="202" spans="1:16" ht="18.75" x14ac:dyDescent="0.25">
      <c r="A202" s="2" t="s">
        <v>412</v>
      </c>
      <c r="B202" s="2" t="s">
        <v>16</v>
      </c>
      <c r="C202" s="2" t="s">
        <v>17</v>
      </c>
      <c r="D202" s="2" t="s">
        <v>42</v>
      </c>
      <c r="E202" s="2" t="s">
        <v>43</v>
      </c>
      <c r="F202" s="2" t="s">
        <v>413</v>
      </c>
      <c r="G202" s="2" t="s">
        <v>148</v>
      </c>
      <c r="H202" s="2" t="s">
        <v>414</v>
      </c>
      <c r="I202" s="2" t="s">
        <v>415</v>
      </c>
      <c r="J202" s="2" t="s">
        <v>144</v>
      </c>
      <c r="K202" s="2" t="s">
        <v>396</v>
      </c>
      <c r="L202" s="3">
        <f>IF(OR(TRIM(I202)="",TRIM(K202)=""),"",IFERROR((VALUE(LEFT(TRIM(I202),4))-VALUE(LEFT(TRIM(K202),4)))*12+VALUE(MID(TRIM(I202),6,2))-VALUE(MID(TRIM(K202),6,2)),""))</f>
        <v>8</v>
      </c>
      <c r="M202" s="2" t="str">
        <f>IF(TRIM(H202)="","",IFERROR(LOOKUP(2,1/(ISNUMBER(SEARCH('منطق دسته‌بندی'!$A$2:$A$187,H202))),'منطق دسته‌بندی'!$B$2:$B$187),"سایر (نیازمند بررسی دستی)"))</f>
        <v>تنظیم - تنظیمات دستگاه/دیسپلی (تعمیر)</v>
      </c>
      <c r="N202" s="2" t="s">
        <v>24</v>
      </c>
      <c r="O202" s="2" t="str" cm="1">
        <f t="array" ref="O202">IF(A202="","",IF(SUMPRODUCT(($B$2:$B$965=B202)*($C$2:$C$965=C202)*($D$2:$D$965=D202)*($E$2:$E$965=E202)*($F$2:$F$965=F202)*($G$2:$G$965=G202)*($H$2:$H$965=H202)*($I$2:$I$965=I202)*($J$2:$J$965=J202)*($K$2:$K$965=K202)*($N$2:$N$965=N202))=1,"خیر",IF(SUMPRODUCT(($B$2:B202=B202)*($C$2:C202=C202)*($D$2:D202=D202)*($E$2:E202=E202)*($F$2:F202=F202)*($G$2:G202=G202)*($H$2:H202=H202)*($I$2:I202=I202)*($J$2:J202=J202)*($K$2:K202=K202)*($N$2:N202=N202))=1,"بله-1","بله")))</f>
        <v>خیر</v>
      </c>
      <c r="P202" s="5" t="str" cm="1">
        <f t="array" ref="P202">IF(A202="","",IF(SUMPRODUCT(($F$2:$F$969=F202)*($I$2:$I$969=I202))=1,"خیر",IF(SUMPRODUCT(($F$2:F202=F202)*($I$2:I202=I202))=1,"بله-1","بله")))</f>
        <v>خیر</v>
      </c>
    </row>
    <row r="203" spans="1:16" ht="37.5" x14ac:dyDescent="0.25">
      <c r="A203" s="2">
        <v>210023501</v>
      </c>
      <c r="B203" s="2" t="s">
        <v>1950</v>
      </c>
      <c r="C203" s="2" t="s">
        <v>1951</v>
      </c>
      <c r="D203" s="2" t="s">
        <v>42</v>
      </c>
      <c r="E203" s="15" t="s">
        <v>1057</v>
      </c>
      <c r="F203" s="2" t="s">
        <v>1475</v>
      </c>
      <c r="G203" s="2" t="s">
        <v>1476</v>
      </c>
      <c r="H203" s="2" t="s">
        <v>1439</v>
      </c>
      <c r="I203" s="2" t="s">
        <v>1395</v>
      </c>
      <c r="J203" s="2" t="s">
        <v>1339</v>
      </c>
      <c r="K203" s="2" t="s">
        <v>1463</v>
      </c>
      <c r="L203" s="3">
        <f>IF(OR(TRIM(I203)="",TRIM(K203)=""),"",IFERROR((VALUE(LEFT(TRIM(I203),4))-VALUE(LEFT(TRIM(K203),4)))*12+VALUE(MID(TRIM(I203),6,2))-VALUE(MID(TRIM(K203),6,2)),""))</f>
        <v>0</v>
      </c>
      <c r="M203" s="2" t="str">
        <f>IF(TRIM(H203)="","",IFERROR(LOOKUP(2,1/(ISNUMBER(SEARCH('منطق دسته‌بندی'!$A$2:$A$187,H203))),'منطق دسته‌بندی'!$B$2:$B$187),"سایر (نیازمند بررسی دستی)"))</f>
        <v>مکانیزم درب - میکروسوئیچ/قلاب (تعویض/تنظیم)</v>
      </c>
      <c r="N203" s="2" t="s">
        <v>1443</v>
      </c>
      <c r="O203" s="2" t="str" cm="1">
        <f t="array" ref="O203">IF(A203="","",IF(SUMPRODUCT(($B$2:$B$965=B203)*($C$2:$C$965=C203)*($D$2:$D$965=D203)*($E$2:$E$965=E203)*($F$2:$F$965=F203)*($G$2:$G$965=G203)*($H$2:$H$965=H203)*($I$2:$I$965=I203)*($J$2:$J$965=J203)*($K$2:$K$965=K203)*($N$2:$N$965=N203))=1,"خیر",IF(SUMPRODUCT(($B$2:B203=B203)*($C$2:C203=C203)*($D$2:D203=D203)*($E$2:E203=E203)*($F$2:F203=F203)*($G$2:G203=G203)*($H$2:H203=H203)*($I$2:I203=I203)*($J$2:J203=J203)*($K$2:K203=K203)*($N$2:N203=N203))=1,"بله-1","بله")))</f>
        <v>خیر</v>
      </c>
      <c r="P203" s="5" t="str" cm="1">
        <f t="array" ref="P203">IF(A203="","",IF(SUMPRODUCT(($F$2:$F$969=F203)*($I$2:$I$969=I203))=1,"خیر",IF(SUMPRODUCT(($F$2:F203=F203)*($I$2:I203=I203))=1,"بله-1","بله")))</f>
        <v>خیر</v>
      </c>
    </row>
    <row r="204" spans="1:16" ht="18.75" x14ac:dyDescent="0.25">
      <c r="A204" s="2">
        <v>510025595</v>
      </c>
      <c r="B204" s="2" t="s">
        <v>1950</v>
      </c>
      <c r="C204" s="2" t="s">
        <v>1951</v>
      </c>
      <c r="D204" s="2" t="s">
        <v>42</v>
      </c>
      <c r="E204" s="2" t="s">
        <v>1057</v>
      </c>
      <c r="F204" s="2" t="s">
        <v>1473</v>
      </c>
      <c r="G204" s="2" t="s">
        <v>1377</v>
      </c>
      <c r="H204" s="11" t="s">
        <v>162</v>
      </c>
      <c r="I204" s="2" t="s">
        <v>1474</v>
      </c>
      <c r="J204" s="2" t="s">
        <v>1339</v>
      </c>
      <c r="K204" s="2" t="s">
        <v>1109</v>
      </c>
      <c r="L204" s="3">
        <f>IF(OR(TRIM(I204)="",TRIM(K204)=""),"",IFERROR((VALUE(LEFT(TRIM(I204),4))-VALUE(LEFT(TRIM(K204),4)))*12+VALUE(MID(TRIM(I204),6,2))-VALUE(MID(TRIM(K204),6,2)),""))</f>
        <v>15</v>
      </c>
      <c r="M204" s="2" t="str">
        <f>IF(TRIM(H204)="","",IFERROR(LOOKUP(2,1/(ISNUMBER(SEARCH('منطق دسته‌بندی'!$A$2:$A$187,H204))),'منطق دسته‌بندی'!$B$2:$B$187),"سایر (نیازمند بررسی دستی)"))</f>
        <v>خرابی - پمپ تخلیه (تعویض)</v>
      </c>
      <c r="N204" s="2" t="s">
        <v>164</v>
      </c>
      <c r="O204" s="2" t="str" cm="1">
        <f t="array" ref="O204">IF(A204="","",IF(SUMPRODUCT(($B$2:$B$965=B204)*($C$2:$C$965=C204)*($D$2:$D$965=D204)*($E$2:$E$965=E204)*($F$2:$F$965=F204)*($G$2:$G$965=G204)*($H$2:$H$965=H204)*($I$2:$I$965=I204)*($J$2:$J$965=J204)*($K$2:$K$965=K204)*($N$2:$N$965=N204))=1,"خیر",IF(SUMPRODUCT(($B$2:B204=B204)*($C$2:C204=C204)*($D$2:D204=D204)*($E$2:E204=E204)*($F$2:F204=F204)*($G$2:G204=G204)*($H$2:H204=H204)*($I$2:I204=I204)*($J$2:J204=J204)*($K$2:K204=K204)*($N$2:N204=N204))=1,"بله-1","بله")))</f>
        <v>خیر</v>
      </c>
      <c r="P204" s="5" t="str" cm="1">
        <f t="array" ref="P204">IF(A204="","",IF(SUMPRODUCT(($F$2:$F$969=F204)*($I$2:$I$969=I204))=1,"خیر",IF(SUMPRODUCT(($F$2:F204=F204)*($I$2:I204=I204))=1,"بله-1","بله")))</f>
        <v>خیر</v>
      </c>
    </row>
    <row r="205" spans="1:16" ht="18.75" x14ac:dyDescent="0.25">
      <c r="A205" s="2">
        <v>510025194</v>
      </c>
      <c r="B205" s="2" t="s">
        <v>1950</v>
      </c>
      <c r="C205" s="2" t="s">
        <v>1951</v>
      </c>
      <c r="D205" s="2" t="s">
        <v>42</v>
      </c>
      <c r="E205" s="2" t="s">
        <v>1057</v>
      </c>
      <c r="F205" s="2" t="s">
        <v>1461</v>
      </c>
      <c r="G205" s="2" t="s">
        <v>1364</v>
      </c>
      <c r="H205" s="2" t="s">
        <v>1462</v>
      </c>
      <c r="I205" s="2" t="s">
        <v>1463</v>
      </c>
      <c r="J205" s="2" t="s">
        <v>1464</v>
      </c>
      <c r="K205" s="2" t="s">
        <v>1465</v>
      </c>
      <c r="L205" s="3">
        <f>IF(OR(TRIM(I205)="",TRIM(K205)=""),"",IFERROR((VALUE(LEFT(TRIM(I205),4))-VALUE(LEFT(TRIM(K205),4)))*12+VALUE(MID(TRIM(I205),6,2))-VALUE(MID(TRIM(K205),6,2)),""))</f>
        <v>19</v>
      </c>
      <c r="M205" s="2" t="str">
        <f>IF(TRIM(H205)="","",IFERROR(LOOKUP(2,1/(ISNUMBER(SEARCH('منطق دسته‌بندی'!$A$2:$A$187,H205))),'منطق دسته‌بندی'!$B$2:$B$187),"سایر (نیازمند بررسی دستی)"))</f>
        <v>خرابی - برد الکترونیک (تعویض)</v>
      </c>
      <c r="N205" s="2" t="s">
        <v>1466</v>
      </c>
      <c r="O205" s="2" t="str" cm="1">
        <f t="array" ref="O205">IF(A205="","",IF(SUMPRODUCT(($B$2:$B$965=B205)*($C$2:$C$965=C205)*($D$2:$D$965=D205)*($E$2:$E$965=E205)*($F$2:$F$965=F205)*($G$2:$G$965=G205)*($H$2:$H$965=H205)*($I$2:$I$965=I205)*($J$2:$J$965=J205)*($K$2:$K$965=K205)*($N$2:$N$965=N205))=1,"خیر",IF(SUMPRODUCT(($B$2:B205=B205)*($C$2:C205=C205)*($D$2:D205=D205)*($E$2:E205=E205)*($F$2:F205=F205)*($G$2:G205=G205)*($H$2:H205=H205)*($I$2:I205=I205)*($J$2:J205=J205)*($K$2:K205=K205)*($N$2:N205=N205))=1,"بله-1","بله")))</f>
        <v>خیر</v>
      </c>
      <c r="P205" s="5" t="str" cm="1">
        <f t="array" ref="P205">IF(A205="","",IF(SUMPRODUCT(($F$2:$F$969=F205)*($I$2:$I$969=I205))=1,"خیر",IF(SUMPRODUCT(($F$2:F205=F205)*($I$2:I205=I205))=1,"بله-1","بله")))</f>
        <v>خیر</v>
      </c>
    </row>
    <row r="206" spans="1:16" s="12" customFormat="1" ht="18.75" x14ac:dyDescent="0.25">
      <c r="A206" s="9" t="s">
        <v>220</v>
      </c>
      <c r="B206" s="9" t="s">
        <v>16</v>
      </c>
      <c r="C206" s="9" t="s">
        <v>17</v>
      </c>
      <c r="D206" s="9" t="s">
        <v>42</v>
      </c>
      <c r="E206" s="9" t="s">
        <v>43</v>
      </c>
      <c r="F206" s="9" t="s">
        <v>118</v>
      </c>
      <c r="G206" s="9" t="s">
        <v>119</v>
      </c>
      <c r="H206" s="18" t="s">
        <v>221</v>
      </c>
      <c r="I206" s="9" t="s">
        <v>47</v>
      </c>
      <c r="J206" s="9" t="s">
        <v>120</v>
      </c>
      <c r="K206" s="9" t="s">
        <v>222</v>
      </c>
      <c r="L206" s="10">
        <f>IF(OR(TRIM(I206)="",TRIM(K206)=""),"",IFERROR((VALUE(LEFT(TRIM(I206),4))-VALUE(LEFT(TRIM(K206),4)))*12+VALUE(MID(TRIM(I206),6,2))-VALUE(MID(TRIM(K206),6,2)),""))</f>
        <v>13</v>
      </c>
      <c r="M206" s="2" t="str">
        <f>IF(TRIM(H206)="","",IFERROR(LOOKUP(2,1/(ISNUMBER(SEARCH('منطق دسته‌بندی'!$A$2:$A$187,H206))),'منطق دسته‌بندی'!$B$2:$B$187),"سایر (نیازمند بررسی دستی)"))</f>
        <v>نشتی - پمپ تخلیه (تعمیر/آب‌بندی)</v>
      </c>
      <c r="N206" s="2" t="s">
        <v>2025</v>
      </c>
      <c r="O206" s="9" t="str" cm="1">
        <f t="array" ref="O206">IF(A206="","",IF(SUMPRODUCT(($B$2:$B$965=B206)*($C$2:$C$965=C206)*($D$2:$D$965=D206)*($E$2:$E$965=E206)*($F$2:$F$965=F206)*($G$2:$G$965=G206)*($H$2:$H$965=H206)*($I$2:$I$965=I206)*($J$2:$J$965=J206)*($K$2:$K$965=K206)*($N$2:$N$965=N206))=1,"خیر",IF(SUMPRODUCT(($B$2:B206=B206)*($C$2:C206=C206)*($D$2:D206=D206)*($E$2:E206=E206)*($F$2:F206=F206)*($G$2:G206=G206)*($H$2:H206=H206)*($I$2:I206=I206)*($J$2:J206=J206)*($K$2:K206=K206)*($N$2:N206=N206))=1,"بله-1","بله")))</f>
        <v>خیر</v>
      </c>
      <c r="P206" s="11" t="str" cm="1">
        <f t="array" ref="P206">IF(A206="","",IF(SUMPRODUCT(($F$2:$F$969=F206)*($I$2:$I$969=I206))=1,"خیر",IF(SUMPRODUCT(($F$2:F206=F206)*($I$2:I206=I206))=1,"بله-1","بله")))</f>
        <v>خیر</v>
      </c>
    </row>
    <row r="207" spans="1:16" ht="18.75" x14ac:dyDescent="0.25">
      <c r="A207" s="2" t="s">
        <v>433</v>
      </c>
      <c r="B207" s="2" t="s">
        <v>16</v>
      </c>
      <c r="C207" s="2" t="s">
        <v>17</v>
      </c>
      <c r="D207" s="2" t="s">
        <v>42</v>
      </c>
      <c r="E207" s="2" t="s">
        <v>43</v>
      </c>
      <c r="F207" s="2" t="s">
        <v>434</v>
      </c>
      <c r="G207" s="2" t="s">
        <v>73</v>
      </c>
      <c r="H207" s="2" t="s">
        <v>333</v>
      </c>
      <c r="I207" s="2" t="s">
        <v>435</v>
      </c>
      <c r="J207" s="2" t="s">
        <v>436</v>
      </c>
      <c r="K207" s="2" t="s">
        <v>437</v>
      </c>
      <c r="L207" s="3">
        <f>IF(OR(TRIM(I207)="",TRIM(K207)=""),"",IFERROR((VALUE(LEFT(TRIM(I207),4))-VALUE(LEFT(TRIM(K207),4)))*12+VALUE(MID(TRIM(I207),6,2))-VALUE(MID(TRIM(K207),6,2)),""))</f>
        <v>10</v>
      </c>
      <c r="M207" s="2" t="str">
        <f>IF(TRIM(H207)="","",IFERROR(LOOKUP(2,1/(ISNUMBER(SEARCH('منطق دسته‌بندی'!$A$2:$A$187,H207))),'منطق دسته‌بندی'!$B$2:$B$187),"سایر (نیازمند بررسی دستی)"))</f>
        <v>ریست نرم‌افزاری (بدون قطعه)</v>
      </c>
      <c r="N207" s="2" t="s">
        <v>24</v>
      </c>
      <c r="O207" s="2" t="str" cm="1">
        <f t="array" ref="O207">IF(A207="","",IF(SUMPRODUCT(($B$2:$B$965=B207)*($C$2:$C$965=C207)*($D$2:$D$965=D207)*($E$2:$E$965=E207)*($F$2:$F$965=F207)*($G$2:$G$965=G207)*($H$2:$H$965=H207)*($I$2:$I$965=I207)*($J$2:$J$965=J207)*($K$2:$K$965=K207)*($N$2:$N$965=N207))=1,"خیر",IF(SUMPRODUCT(($B$2:B207=B207)*($C$2:C207=C207)*($D$2:D207=D207)*($E$2:E207=E207)*($F$2:F207=F207)*($G$2:G207=G207)*($H$2:H207=H207)*($I$2:I207=I207)*($J$2:J207=J207)*($K$2:K207=K207)*($N$2:N207=N207))=1,"بله-1","بله")))</f>
        <v>خیر</v>
      </c>
      <c r="P207" s="5" t="str" cm="1">
        <f t="array" ref="P207">IF(A207="","",IF(SUMPRODUCT(($F$2:$F$969=F207)*($I$2:$I$969=I207))=1,"خیر",IF(SUMPRODUCT(($F$2:F207=F207)*($I$2:I207=I207))=1,"بله-1","بله")))</f>
        <v>خیر</v>
      </c>
    </row>
    <row r="208" spans="1:16" ht="37.5" x14ac:dyDescent="0.25">
      <c r="A208" s="2" t="s">
        <v>1212</v>
      </c>
      <c r="B208" s="2" t="s">
        <v>1040</v>
      </c>
      <c r="C208" s="2" t="s">
        <v>1041</v>
      </c>
      <c r="D208" s="2" t="s">
        <v>42</v>
      </c>
      <c r="E208" s="2" t="s">
        <v>1057</v>
      </c>
      <c r="F208" s="2" t="s">
        <v>1213</v>
      </c>
      <c r="G208" s="2" t="s">
        <v>543</v>
      </c>
      <c r="H208" s="2" t="s">
        <v>197</v>
      </c>
      <c r="I208" s="2" t="s">
        <v>1214</v>
      </c>
      <c r="J208" s="2" t="s">
        <v>1215</v>
      </c>
      <c r="K208" s="2" t="s">
        <v>636</v>
      </c>
      <c r="L208" s="3">
        <f>IF(OR(TRIM(I208)="",TRIM(K208)=""),"",IFERROR((VALUE(LEFT(TRIM(I208),4))-VALUE(LEFT(TRIM(K208),4)))*12+VALUE(MID(TRIM(I208),6,2))-VALUE(MID(TRIM(K208),6,2)),""))</f>
        <v>21</v>
      </c>
      <c r="M208" s="2" t="str">
        <f>IF(TRIM(H208)="","",IFERROR(LOOKUP(2,1/(ISNUMBER(SEARCH('منطق دسته‌بندی'!$A$2:$A$187,H208))),'منطق دسته‌بندی'!$B$2:$B$187),"سایر (نیازمند بررسی دستی)"))</f>
        <v>نشتی آب - محل نامشخص (نیازمند بازدید)</v>
      </c>
      <c r="N208" s="2" t="s">
        <v>24</v>
      </c>
      <c r="O208" s="2" t="str" cm="1">
        <f t="array" ref="O208">IF(A208="","",IF(SUMPRODUCT(($B$2:$B$965=B208)*($C$2:$C$965=C208)*($D$2:$D$965=D208)*($E$2:$E$965=E208)*($F$2:$F$965=F208)*($G$2:$G$965=G208)*($H$2:$H$965=H208)*($I$2:$I$965=I208)*($J$2:$J$965=J208)*($K$2:$K$965=K208)*($N$2:$N$965=N208))=1,"خیر",IF(SUMPRODUCT(($B$2:B208=B208)*($C$2:C208=C208)*($D$2:D208=D208)*($E$2:E208=E208)*($F$2:F208=F208)*($G$2:G208=G208)*($H$2:H208=H208)*($I$2:I208=I208)*($J$2:J208=J208)*($K$2:K208=K208)*($N$2:N208=N208))=1,"بله-1","بله")))</f>
        <v>خیر</v>
      </c>
      <c r="P208" s="5" t="str" cm="1">
        <f t="array" ref="P208">IF(A208="","",IF(SUMPRODUCT(($F$2:$F$969=F208)*($I$2:$I$969=I208))=1,"خیر",IF(SUMPRODUCT(($F$2:F208=F208)*($I$2:I208=I208))=1,"بله-1","بله")))</f>
        <v>خیر</v>
      </c>
    </row>
    <row r="209" spans="1:16" ht="37.5" x14ac:dyDescent="0.25">
      <c r="A209" s="2">
        <v>310008974</v>
      </c>
      <c r="B209" s="2" t="s">
        <v>1040</v>
      </c>
      <c r="C209" s="2" t="s">
        <v>1041</v>
      </c>
      <c r="D209" s="2" t="s">
        <v>42</v>
      </c>
      <c r="E209" s="2" t="s">
        <v>1057</v>
      </c>
      <c r="F209" s="2" t="s">
        <v>1444</v>
      </c>
      <c r="G209" s="2" t="s">
        <v>1445</v>
      </c>
      <c r="H209" s="2" t="s">
        <v>1439</v>
      </c>
      <c r="I209" s="2" t="s">
        <v>1434</v>
      </c>
      <c r="J209" s="2" t="s">
        <v>1215</v>
      </c>
      <c r="K209" s="2" t="s">
        <v>850</v>
      </c>
      <c r="L209" s="3">
        <f>IF(OR(TRIM(I209)="",TRIM(K209)=""),"",IFERROR((VALUE(LEFT(TRIM(I209),4))-VALUE(LEFT(TRIM(K209),4)))*12+VALUE(MID(TRIM(I209),6,2))-VALUE(MID(TRIM(K209),6,2)),""))</f>
        <v>11</v>
      </c>
      <c r="M209" s="2" t="str">
        <f>IF(TRIM(H209)="","",IFERROR(LOOKUP(2,1/(ISNUMBER(SEARCH('منطق دسته‌بندی'!$A$2:$A$187,H209))),'منطق دسته‌بندی'!$B$2:$B$187),"سایر (نیازمند بررسی دستی)"))</f>
        <v>مکانیزم درب - میکروسوئیچ/قلاب (تعویض/تنظیم)</v>
      </c>
      <c r="N209" s="2" t="s">
        <v>1443</v>
      </c>
      <c r="O209" s="2" t="str" cm="1">
        <f t="array" ref="O209">IF(A209="","",IF(SUMPRODUCT(($B$2:$B$965=B209)*($C$2:$C$965=C209)*($D$2:$D$965=D209)*($E$2:$E$965=E209)*($F$2:$F$965=F209)*($G$2:$G$965=G209)*($H$2:$H$965=H209)*($I$2:$I$965=I209)*($J$2:$J$965=J209)*($K$2:$K$965=K209)*($N$2:$N$965=N209))=1,"خیر",IF(SUMPRODUCT(($B$2:B209=B209)*($C$2:C209=C209)*($D$2:D209=D209)*($E$2:E209=E209)*($F$2:F209=F209)*($G$2:G209=G209)*($H$2:H209=H209)*($I$2:I209=I209)*($J$2:J209=J209)*($K$2:K209=K209)*($N$2:N209=N209))=1,"بله-1","بله")))</f>
        <v>خیر</v>
      </c>
      <c r="P209" s="5" t="str" cm="1">
        <f t="array" ref="P209">IF(A209="","",IF(SUMPRODUCT(($F$2:$F$969=F209)*($I$2:$I$969=I209))=1,"خیر",IF(SUMPRODUCT(($F$2:F209=F209)*($I$2:I209=I209))=1,"بله-1","بله")))</f>
        <v>خیر</v>
      </c>
    </row>
    <row r="210" spans="1:16" ht="18.75" x14ac:dyDescent="0.25">
      <c r="A210" s="2" t="s">
        <v>738</v>
      </c>
      <c r="B210" s="2" t="s">
        <v>632</v>
      </c>
      <c r="C210" s="2" t="s">
        <v>633</v>
      </c>
      <c r="D210" s="2" t="s">
        <v>42</v>
      </c>
      <c r="E210" s="2" t="s">
        <v>43</v>
      </c>
      <c r="F210" s="2" t="s">
        <v>739</v>
      </c>
      <c r="G210" s="2" t="s">
        <v>194</v>
      </c>
      <c r="H210" s="2" t="s">
        <v>487</v>
      </c>
      <c r="I210" s="2" t="s">
        <v>740</v>
      </c>
      <c r="J210" s="2" t="s">
        <v>741</v>
      </c>
      <c r="K210" s="2" t="s">
        <v>742</v>
      </c>
      <c r="L210" s="3">
        <f>IF(OR(TRIM(I210)="",TRIM(K210)=""),"",IFERROR((VALUE(LEFT(TRIM(I210),4))-VALUE(LEFT(TRIM(K210),4)))*12+VALUE(MID(TRIM(I210),6,2))-VALUE(MID(TRIM(K210),6,2)),""))</f>
        <v>5</v>
      </c>
      <c r="M210" s="2" t="str">
        <f>IF(TRIM(H210)="","",IFERROR(LOOKUP(2,1/(ISNUMBER(SEARCH('منطق دسته‌بندی'!$A$2:$A$187,H210))),'منطق دسته‌بندی'!$B$2:$B$187),"سایر (نیازمند بررسی دستی)"))</f>
        <v>نشتی - شیلنگ (تعمیر/آب‌بندی)</v>
      </c>
      <c r="N210" s="2" t="s">
        <v>24</v>
      </c>
      <c r="O210" s="2" t="str" cm="1">
        <f t="array" ref="O210">IF(A210="","",IF(SUMPRODUCT(($B$2:$B$965=B210)*($C$2:$C$965=C210)*($D$2:$D$965=D210)*($E$2:$E$965=E210)*($F$2:$F$965=F210)*($G$2:$G$965=G210)*($H$2:$H$965=H210)*($I$2:$I$965=I210)*($J$2:$J$965=J210)*($K$2:$K$965=K210)*($N$2:$N$965=N210))=1,"خیر",IF(SUMPRODUCT(($B$2:B210=B210)*($C$2:C210=C210)*($D$2:D210=D210)*($E$2:E210=E210)*($F$2:F210=F210)*($G$2:G210=G210)*($H$2:H210=H210)*($I$2:I210=I210)*($J$2:J210=J210)*($K$2:K210=K210)*($N$2:N210=N210))=1,"بله-1","بله")))</f>
        <v>خیر</v>
      </c>
      <c r="P210" s="5" t="str" cm="1">
        <f t="array" ref="P210">IF(A210="","",IF(SUMPRODUCT(($F$2:$F$969=F210)*($I$2:$I$969=I210))=1,"خیر",IF(SUMPRODUCT(($F$2:F210=F210)*($I$2:I210=I210))=1,"بله-1","بله")))</f>
        <v>خیر</v>
      </c>
    </row>
    <row r="211" spans="1:16" ht="37.5" x14ac:dyDescent="0.25">
      <c r="A211" s="2" t="s">
        <v>1354</v>
      </c>
      <c r="B211" s="2" t="s">
        <v>1040</v>
      </c>
      <c r="C211" s="2" t="s">
        <v>1041</v>
      </c>
      <c r="D211" s="2" t="s">
        <v>42</v>
      </c>
      <c r="E211" s="2" t="s">
        <v>1057</v>
      </c>
      <c r="F211" s="2" t="s">
        <v>1355</v>
      </c>
      <c r="G211" s="2" t="s">
        <v>608</v>
      </c>
      <c r="H211" s="2" t="s">
        <v>2020</v>
      </c>
      <c r="I211" s="2" t="s">
        <v>1338</v>
      </c>
      <c r="J211" s="2" t="s">
        <v>741</v>
      </c>
      <c r="K211" s="2" t="s">
        <v>132</v>
      </c>
      <c r="L211" s="3">
        <f>IF(OR(TRIM(I211)="",TRIM(K211)=""),"",IFERROR((VALUE(LEFT(TRIM(I211),4))-VALUE(LEFT(TRIM(K211),4)))*12+VALUE(MID(TRIM(I211),6,2))-VALUE(MID(TRIM(K211),6,2)),""))</f>
        <v>11</v>
      </c>
      <c r="M211" s="2" t="str">
        <f>IF(TRIM(H211)="","",IFERROR(LOOKUP(2,1/(ISNUMBER(SEARCH('منطق دسته‌بندی'!$A$2:$A$187,H211))),'منطق دسته‌بندی'!$B$2:$B$187),"سایر (نیازمند بررسی دستی)"))</f>
        <v>مکانیزم درب - میکروسوئیچ/قلاب (تعویض/تنظیم)</v>
      </c>
      <c r="N211" s="2" t="s">
        <v>24</v>
      </c>
      <c r="O211" s="2" t="str" cm="1">
        <f t="array" ref="O211">IF(A211="","",IF(SUMPRODUCT(($B$2:$B$965=B211)*($C$2:$C$965=C211)*($D$2:$D$965=D211)*($E$2:$E$965=E211)*($F$2:$F$965=F211)*($G$2:$G$965=G211)*($H$2:$H$965=H211)*($I$2:$I$965=I211)*($J$2:$J$965=J211)*($K$2:$K$965=K211)*($N$2:$N$965=N211))=1,"خیر",IF(SUMPRODUCT(($B$2:B211=B211)*($C$2:C211=C211)*($D$2:D211=D211)*($E$2:E211=E211)*($F$2:F211=F211)*($G$2:G211=G211)*($H$2:H211=H211)*($I$2:I211=I211)*($J$2:J211=J211)*($K$2:K211=K211)*($N$2:N211=N211))=1,"بله-1","بله")))</f>
        <v>خیر</v>
      </c>
      <c r="P211" s="5" t="str" cm="1">
        <f t="array" ref="P211">IF(A211="","",IF(SUMPRODUCT(($F$2:$F$969=F211)*($I$2:$I$969=I211))=1,"خیر",IF(SUMPRODUCT(($F$2:F211=F211)*($I$2:I211=I211))=1,"بله-1","بله")))</f>
        <v>خیر</v>
      </c>
    </row>
    <row r="212" spans="1:16" ht="37.5" x14ac:dyDescent="0.25">
      <c r="A212" s="2">
        <v>210022139</v>
      </c>
      <c r="B212" s="2" t="s">
        <v>1950</v>
      </c>
      <c r="C212" s="2" t="s">
        <v>1951</v>
      </c>
      <c r="D212" s="2" t="s">
        <v>42</v>
      </c>
      <c r="E212" s="2" t="s">
        <v>361</v>
      </c>
      <c r="F212" s="2" t="s">
        <v>1658</v>
      </c>
      <c r="G212" s="2" t="s">
        <v>1436</v>
      </c>
      <c r="H212" s="2" t="s">
        <v>1439</v>
      </c>
      <c r="I212" s="2" t="s">
        <v>1619</v>
      </c>
      <c r="J212" s="2" t="s">
        <v>665</v>
      </c>
      <c r="K212" s="2" t="s">
        <v>1659</v>
      </c>
      <c r="L212" s="3">
        <f>IF(OR(TRIM(I212)="",TRIM(K212)=""),"",IFERROR((VALUE(LEFT(TRIM(I212),4))-VALUE(LEFT(TRIM(K212),4)))*12+VALUE(MID(TRIM(I212),6,2))-VALUE(MID(TRIM(K212),6,2)),""))</f>
        <v>2</v>
      </c>
      <c r="M212" s="2" t="str">
        <f>IF(TRIM(H212)="","",IFERROR(LOOKUP(2,1/(ISNUMBER(SEARCH('منطق دسته‌بندی'!$A$2:$A$187,H212))),'منطق دسته‌بندی'!$B$2:$B$187),"سایر (نیازمند بررسی دستی)"))</f>
        <v>مکانیزم درب - میکروسوئیچ/قلاب (تعویض/تنظیم)</v>
      </c>
      <c r="N212" s="2" t="s">
        <v>1443</v>
      </c>
      <c r="O212" s="2" t="str" cm="1">
        <f t="array" ref="O212">IF(A212="","",IF(SUMPRODUCT(($B$2:$B$965=B212)*($C$2:$C$965=C212)*($D$2:$D$965=D212)*($E$2:$E$965=E212)*($F$2:$F$965=F212)*($G$2:$G$965=G212)*($H$2:$H$965=H212)*($I$2:$I$965=I212)*($J$2:$J$965=J212)*($K$2:$K$965=K212)*($N$2:$N$965=N212))=1,"خیر",IF(SUMPRODUCT(($B$2:B212=B212)*($C$2:C212=C212)*($D$2:D212=D212)*($E$2:E212=E212)*($F$2:F212=F212)*($G$2:G212=G212)*($H$2:H212=H212)*($I$2:I212=I212)*($J$2:J212=J212)*($K$2:K212=K212)*($N$2:N212=N212))=1,"بله-1","بله")))</f>
        <v>خیر</v>
      </c>
      <c r="P212" s="5" t="str" cm="1">
        <f t="array" ref="P212">IF(A212="","",IF(SUMPRODUCT(($F$2:$F$969=F212)*($I$2:$I$969=I212))=1,"خیر",IF(SUMPRODUCT(($F$2:F212=F212)*($I$2:I212=I212))=1,"بله-1","بله")))</f>
        <v>خیر</v>
      </c>
    </row>
    <row r="213" spans="1:16" ht="18.75" x14ac:dyDescent="0.25">
      <c r="A213" s="2">
        <v>310009004</v>
      </c>
      <c r="B213" s="2" t="s">
        <v>1950</v>
      </c>
      <c r="C213" s="2" t="s">
        <v>1951</v>
      </c>
      <c r="D213" s="2" t="s">
        <v>42</v>
      </c>
      <c r="E213" s="2" t="s">
        <v>361</v>
      </c>
      <c r="F213" s="2" t="s">
        <v>1657</v>
      </c>
      <c r="G213" s="2" t="s">
        <v>1605</v>
      </c>
      <c r="H213" s="18" t="s">
        <v>221</v>
      </c>
      <c r="I213" s="2" t="s">
        <v>1384</v>
      </c>
      <c r="J213" s="2" t="s">
        <v>665</v>
      </c>
      <c r="K213" s="2" t="s">
        <v>1411</v>
      </c>
      <c r="L213" s="3">
        <f>IF(OR(TRIM(I213)="",TRIM(K213)=""),"",IFERROR((VALUE(LEFT(TRIM(I213),4))-VALUE(LEFT(TRIM(K213),4)))*12+VALUE(MID(TRIM(I213),6,2))-VALUE(MID(TRIM(K213),6,2)),""))</f>
        <v>8</v>
      </c>
      <c r="M213" s="2" t="str">
        <f>IF(TRIM(H213)="","",IFERROR(LOOKUP(2,1/(ISNUMBER(SEARCH('منطق دسته‌بندی'!$A$2:$A$187,H213))),'منطق دسته‌بندی'!$B$2:$B$187),"سایر (نیازمند بررسی دستی)"))</f>
        <v>نشتی - پمپ تخلیه (تعمیر/آب‌بندی)</v>
      </c>
      <c r="N213" s="2" t="s">
        <v>2025</v>
      </c>
      <c r="O213" s="2" t="str" cm="1">
        <f t="array" ref="O213">IF(A213="","",IF(SUMPRODUCT(($B$2:$B$965=B213)*($C$2:$C$965=C213)*($D$2:$D$965=D213)*($E$2:$E$965=E213)*($F$2:$F$965=F213)*($G$2:$G$965=G213)*($H$2:$H$965=H213)*($I$2:$I$965=I213)*($J$2:$J$965=J213)*($K$2:$K$965=K213)*($N$2:$N$965=N213))=1,"خیر",IF(SUMPRODUCT(($B$2:B213=B213)*($C$2:C213=C213)*($D$2:D213=D213)*($E$2:E213=E213)*($F$2:F213=F213)*($G$2:G213=G213)*($H$2:H213=H213)*($I$2:I213=I213)*($J$2:J213=J213)*($K$2:K213=K213)*($N$2:N213=N213))=1,"بله-1","بله")))</f>
        <v>خیر</v>
      </c>
      <c r="P213" s="5" t="str" cm="1">
        <f t="array" ref="P213">IF(A213="","",IF(SUMPRODUCT(($F$2:$F$969=F213)*($I$2:$I$969=I213))=1,"خیر",IF(SUMPRODUCT(($F$2:F213=F213)*($I$2:I213=I213))=1,"بله-1","بله")))</f>
        <v>خیر</v>
      </c>
    </row>
    <row r="214" spans="1:16" ht="18.75" x14ac:dyDescent="0.25">
      <c r="A214" s="2" t="s">
        <v>764</v>
      </c>
      <c r="B214" s="2" t="s">
        <v>632</v>
      </c>
      <c r="C214" s="2" t="s">
        <v>633</v>
      </c>
      <c r="D214" s="2" t="s">
        <v>42</v>
      </c>
      <c r="E214" s="2" t="s">
        <v>43</v>
      </c>
      <c r="F214" s="2" t="s">
        <v>765</v>
      </c>
      <c r="G214" s="2" t="s">
        <v>100</v>
      </c>
      <c r="H214" s="2" t="s">
        <v>275</v>
      </c>
      <c r="I214" s="2" t="s">
        <v>761</v>
      </c>
      <c r="J214" s="2" t="s">
        <v>297</v>
      </c>
      <c r="K214" s="2" t="s">
        <v>766</v>
      </c>
      <c r="L214" s="3">
        <f>IF(OR(TRIM(I214)="",TRIM(K214)=""),"",IFERROR((VALUE(LEFT(TRIM(I214),4))-VALUE(LEFT(TRIM(K214),4)))*12+VALUE(MID(TRIM(I214),6,2))-VALUE(MID(TRIM(K214),6,2)),""))</f>
        <v>5</v>
      </c>
      <c r="M214" s="2" t="str">
        <f>IF(TRIM(H214)="","",IFERROR(LOOKUP(2,1/(ISNUMBER(SEARCH('منطق دسته‌بندی'!$A$2:$A$187,H214))),'منطق دسته‌بندی'!$B$2:$B$187),"سایر (نیازمند بررسی دستی)"))</f>
        <v>خرابی - واترجت (تعویض)</v>
      </c>
      <c r="N214" s="2" t="s">
        <v>279</v>
      </c>
      <c r="O214" s="2" t="str" cm="1">
        <f t="array" ref="O214">IF(A214="","",IF(SUMPRODUCT(($B$2:$B$965=B214)*($C$2:$C$965=C214)*($D$2:$D$965=D214)*($E$2:$E$965=E214)*($F$2:$F$965=F214)*($G$2:$G$965=G214)*($H$2:$H$965=H214)*($I$2:$I$965=I214)*($J$2:$J$965=J214)*($K$2:$K$965=K214)*($N$2:$N$965=N214))=1,"خیر",IF(SUMPRODUCT(($B$2:B214=B214)*($C$2:C214=C214)*($D$2:D214=D214)*($E$2:E214=E214)*($F$2:F214=F214)*($G$2:G214=G214)*($H$2:H214=H214)*($I$2:I214=I214)*($J$2:J214=J214)*($K$2:K214=K214)*($N$2:N214=N214))=1,"بله-1","بله")))</f>
        <v>خیر</v>
      </c>
      <c r="P214" s="5" t="str" cm="1">
        <f t="array" ref="P214">IF(A214="","",IF(SUMPRODUCT(($F$2:$F$969=F214)*($I$2:$I$969=I214))=1,"خیر",IF(SUMPRODUCT(($F$2:F214=F214)*($I$2:I214=I214))=1,"بله-1","بله")))</f>
        <v>خیر</v>
      </c>
    </row>
    <row r="215" spans="1:16" ht="37.5" x14ac:dyDescent="0.25">
      <c r="A215" s="2" t="s">
        <v>617</v>
      </c>
      <c r="B215" s="2" t="s">
        <v>16</v>
      </c>
      <c r="C215" s="2" t="s">
        <v>17</v>
      </c>
      <c r="D215" s="2" t="s">
        <v>42</v>
      </c>
      <c r="E215" s="2" t="s">
        <v>43</v>
      </c>
      <c r="F215" s="2" t="s">
        <v>618</v>
      </c>
      <c r="G215" s="2" t="s">
        <v>73</v>
      </c>
      <c r="H215" s="2" t="s">
        <v>68</v>
      </c>
      <c r="I215" s="2" t="s">
        <v>580</v>
      </c>
      <c r="J215" s="2" t="s">
        <v>297</v>
      </c>
      <c r="K215" s="2" t="s">
        <v>495</v>
      </c>
      <c r="L215" s="3">
        <f>IF(OR(TRIM(I215)="",TRIM(K215)=""),"",IFERROR((VALUE(LEFT(TRIM(I215),4))-VALUE(LEFT(TRIM(K215),4)))*12+VALUE(MID(TRIM(I215),6,2))-VALUE(MID(TRIM(K215),6,2)),""))</f>
        <v>0</v>
      </c>
      <c r="M215" s="2" t="str">
        <f>IF(TRIM(H215)="","",IFERROR(LOOKUP(2,1/(ISNUMBER(SEARCH('منطق دسته‌بندی'!$A$2:$A$187,H215))),'منطق دسته‌بندی'!$B$2:$B$187),"سایر (نیازمند بررسی دستی)"))</f>
        <v>مکانیزم درب - میکروسوئیچ/قلاب (تعویض/تنظیم)</v>
      </c>
      <c r="N215" s="2" t="s">
        <v>75</v>
      </c>
      <c r="O215" s="2" t="str" cm="1">
        <f t="array" ref="O215">IF(A215="","",IF(SUMPRODUCT(($B$2:$B$965=B215)*($C$2:$C$965=C215)*($D$2:$D$965=D215)*($E$2:$E$965=E215)*($F$2:$F$965=F215)*($G$2:$G$965=G215)*($H$2:$H$965=H215)*($I$2:$I$965=I215)*($J$2:$J$965=J215)*($K$2:$K$965=K215)*($N$2:$N$965=N215))=1,"خیر",IF(SUMPRODUCT(($B$2:B215=B215)*($C$2:C215=C215)*($D$2:D215=D215)*($E$2:E215=E215)*($F$2:F215=F215)*($G$2:G215=G215)*($H$2:H215=H215)*($I$2:I215=I215)*($J$2:J215=J215)*($K$2:K215=K215)*($N$2:N215=N215))=1,"بله-1","بله")))</f>
        <v>خیر</v>
      </c>
      <c r="P215" s="5" t="str" cm="1">
        <f t="array" ref="P215">IF(A215="","",IF(SUMPRODUCT(($F$2:$F$969=F215)*($I$2:$I$969=I215))=1,"خیر",IF(SUMPRODUCT(($F$2:F215=F215)*($I$2:I215=I215))=1,"بله-1","بله")))</f>
        <v>خیر</v>
      </c>
    </row>
    <row r="216" spans="1:16" ht="18.75" x14ac:dyDescent="0.25">
      <c r="A216" s="2" t="s">
        <v>484</v>
      </c>
      <c r="B216" s="2" t="s">
        <v>16</v>
      </c>
      <c r="C216" s="2" t="s">
        <v>17</v>
      </c>
      <c r="D216" s="2" t="s">
        <v>42</v>
      </c>
      <c r="E216" s="2" t="s">
        <v>43</v>
      </c>
      <c r="F216" s="2" t="s">
        <v>441</v>
      </c>
      <c r="G216" s="2" t="s">
        <v>194</v>
      </c>
      <c r="H216" s="18" t="s">
        <v>221</v>
      </c>
      <c r="I216" s="2" t="s">
        <v>435</v>
      </c>
      <c r="J216" s="2" t="s">
        <v>442</v>
      </c>
      <c r="K216" s="2" t="s">
        <v>443</v>
      </c>
      <c r="L216" s="3">
        <f>IF(OR(TRIM(I216)="",TRIM(K216)=""),"",IFERROR((VALUE(LEFT(TRIM(I216),4))-VALUE(LEFT(TRIM(K216),4)))*12+VALUE(MID(TRIM(I216),6,2))-VALUE(MID(TRIM(K216),6,2)),""))</f>
        <v>4</v>
      </c>
      <c r="M216" s="2" t="str">
        <f>IF(TRIM(H216)="","",IFERROR(LOOKUP(2,1/(ISNUMBER(SEARCH('منطق دسته‌بندی'!$A$2:$A$187,H216))),'منطق دسته‌بندی'!$B$2:$B$187),"سایر (نیازمند بررسی دستی)"))</f>
        <v>نشتی - پمپ تخلیه (تعمیر/آب‌بندی)</v>
      </c>
      <c r="N216" s="2" t="s">
        <v>2025</v>
      </c>
      <c r="O216" s="2" t="str" cm="1">
        <f t="array" ref="O216">IF(A216="","",IF(SUMPRODUCT(($B$2:$B$965=B216)*($C$2:$C$965=C216)*($D$2:$D$965=D216)*($E$2:$E$965=E216)*($F$2:$F$965=F216)*($G$2:$G$965=G216)*($H$2:$H$965=H216)*($I$2:$I$965=I216)*($J$2:$J$965=J216)*($K$2:$K$965=K216)*($N$2:$N$965=N216))=1,"خیر",IF(SUMPRODUCT(($B$2:B216=B216)*($C$2:C216=C216)*($D$2:D216=D216)*($E$2:E216=E216)*($F$2:F216=F216)*($G$2:G216=G216)*($H$2:H216=H216)*($I$2:I216=I216)*($J$2:J216=J216)*($K$2:K216=K216)*($N$2:N216=N216))=1,"بله-1","بله")))</f>
        <v>خیر</v>
      </c>
      <c r="P216" s="5" t="str" cm="1">
        <f t="array" ref="P216">IF(A216="","",IF(SUMPRODUCT(($F$2:$F$969=F216)*($I$2:$I$969=I216))=1,"خیر",IF(SUMPRODUCT(($F$2:F216=F216)*($I$2:I216=I216))=1,"بله-1","بله")))</f>
        <v>خیر</v>
      </c>
    </row>
    <row r="217" spans="1:16" ht="37.5" x14ac:dyDescent="0.25">
      <c r="A217" s="2" t="s">
        <v>1165</v>
      </c>
      <c r="B217" s="2" t="s">
        <v>1040</v>
      </c>
      <c r="C217" s="2" t="s">
        <v>1041</v>
      </c>
      <c r="D217" s="2" t="s">
        <v>42</v>
      </c>
      <c r="E217" s="2" t="s">
        <v>361</v>
      </c>
      <c r="F217" s="2" t="s">
        <v>1166</v>
      </c>
      <c r="G217" s="2" t="s">
        <v>608</v>
      </c>
      <c r="H217" s="2" t="s">
        <v>68</v>
      </c>
      <c r="I217" s="2" t="s">
        <v>1159</v>
      </c>
      <c r="J217" s="2" t="s">
        <v>196</v>
      </c>
      <c r="K217" s="2" t="s">
        <v>964</v>
      </c>
      <c r="L217" s="3">
        <f>IF(OR(TRIM(I217)="",TRIM(K217)=""),"",IFERROR((VALUE(LEFT(TRIM(I217),4))-VALUE(LEFT(TRIM(K217),4)))*12+VALUE(MID(TRIM(I217),6,2))-VALUE(MID(TRIM(K217),6,2)),""))</f>
        <v>2</v>
      </c>
      <c r="M217" s="2" t="str">
        <f>IF(TRIM(H217)="","",IFERROR(LOOKUP(2,1/(ISNUMBER(SEARCH('منطق دسته‌بندی'!$A$2:$A$187,H217))),'منطق دسته‌بندی'!$B$2:$B$187),"سایر (نیازمند بررسی دستی)"))</f>
        <v>مکانیزم درب - میکروسوئیچ/قلاب (تعویض/تنظیم)</v>
      </c>
      <c r="N217" s="2" t="s">
        <v>1059</v>
      </c>
      <c r="O217" s="2" t="str" cm="1">
        <f t="array" ref="O217">IF(A217="","",IF(SUMPRODUCT(($B$2:$B$965=B217)*($C$2:$C$965=C217)*($D$2:$D$965=D217)*($E$2:$E$965=E217)*($F$2:$F$965=F217)*($G$2:$G$965=G217)*($H$2:$H$965=H217)*($I$2:$I$965=I217)*($J$2:$J$965=J217)*($K$2:$K$965=K217)*($N$2:$N$965=N217))=1,"خیر",IF(SUMPRODUCT(($B$2:B217=B217)*($C$2:C217=C217)*($D$2:D217=D217)*($E$2:E217=E217)*($F$2:F217=F217)*($G$2:G217=G217)*($H$2:H217=H217)*($I$2:I217=I217)*($J$2:J217=J217)*($K$2:K217=K217)*($N$2:N217=N217))=1,"بله-1","بله")))</f>
        <v>خیر</v>
      </c>
      <c r="P217" s="5" t="str" cm="1">
        <f t="array" ref="P217">IF(A217="","",IF(SUMPRODUCT(($F$2:$F$969=F217)*($I$2:$I$969=I217))=1,"خیر",IF(SUMPRODUCT(($F$2:F217=F217)*($I$2:I217=I217))=1,"بله-1","بله")))</f>
        <v>خیر</v>
      </c>
    </row>
    <row r="218" spans="1:16" ht="37.5" x14ac:dyDescent="0.25">
      <c r="A218" s="2" t="s">
        <v>547</v>
      </c>
      <c r="B218" s="2" t="s">
        <v>16</v>
      </c>
      <c r="C218" s="2" t="s">
        <v>17</v>
      </c>
      <c r="D218" s="2" t="s">
        <v>42</v>
      </c>
      <c r="E218" s="2" t="s">
        <v>43</v>
      </c>
      <c r="F218" s="2" t="s">
        <v>548</v>
      </c>
      <c r="G218" s="2" t="s">
        <v>73</v>
      </c>
      <c r="H218" s="2" t="s">
        <v>68</v>
      </c>
      <c r="I218" s="2" t="s">
        <v>549</v>
      </c>
      <c r="J218" s="2" t="s">
        <v>196</v>
      </c>
      <c r="K218" s="2" t="s">
        <v>550</v>
      </c>
      <c r="L218" s="3">
        <f>IF(OR(TRIM(I218)="",TRIM(K218)=""),"",IFERROR((VALUE(LEFT(TRIM(I218),4))-VALUE(LEFT(TRIM(K218),4)))*12+VALUE(MID(TRIM(I218),6,2))-VALUE(MID(TRIM(K218),6,2)),""))</f>
        <v>1</v>
      </c>
      <c r="M218" s="2" t="str">
        <f>IF(TRIM(H218)="","",IFERROR(LOOKUP(2,1/(ISNUMBER(SEARCH('منطق دسته‌بندی'!$A$2:$A$187,H218))),'منطق دسته‌بندی'!$B$2:$B$187),"سایر (نیازمند بررسی دستی)"))</f>
        <v>مکانیزم درب - میکروسوئیچ/قلاب (تعویض/تنظیم)</v>
      </c>
      <c r="N218" s="2" t="s">
        <v>75</v>
      </c>
      <c r="O218" s="2" t="str" cm="1">
        <f t="array" ref="O218">IF(A218="","",IF(SUMPRODUCT(($B$2:$B$965=B218)*($C$2:$C$965=C218)*($D$2:$D$965=D218)*($E$2:$E$965=E218)*($F$2:$F$965=F218)*($G$2:$G$965=G218)*($H$2:$H$965=H218)*($I$2:$I$965=I218)*($J$2:$J$965=J218)*($K$2:$K$965=K218)*($N$2:$N$965=N218))=1,"خیر",IF(SUMPRODUCT(($B$2:B218=B218)*($C$2:C218=C218)*($D$2:D218=D218)*($E$2:E218=E218)*($F$2:F218=F218)*($G$2:G218=G218)*($H$2:H218=H218)*($I$2:I218=I218)*($J$2:J218=J218)*($K$2:K218=K218)*($N$2:N218=N218))=1,"بله-1","بله")))</f>
        <v>خیر</v>
      </c>
      <c r="P218" s="5" t="str" cm="1">
        <f t="array" ref="P218">IF(A218="","",IF(SUMPRODUCT(($F$2:$F$969=F218)*($I$2:$I$969=I218))=1,"خیر",IF(SUMPRODUCT(($F$2:F218=F218)*($I$2:I218=I218))=1,"بله-1","بله")))</f>
        <v>خیر</v>
      </c>
    </row>
    <row r="219" spans="1:16" ht="18.75" x14ac:dyDescent="0.25">
      <c r="A219" s="2">
        <v>810006307</v>
      </c>
      <c r="B219" s="2" t="s">
        <v>1950</v>
      </c>
      <c r="C219" s="2" t="s">
        <v>1951</v>
      </c>
      <c r="D219" s="2" t="s">
        <v>42</v>
      </c>
      <c r="E219" s="2" t="s">
        <v>361</v>
      </c>
      <c r="F219" s="2" t="s">
        <v>1653</v>
      </c>
      <c r="G219" s="2" t="s">
        <v>1457</v>
      </c>
      <c r="H219" s="11" t="s">
        <v>162</v>
      </c>
      <c r="I219" s="2" t="s">
        <v>1559</v>
      </c>
      <c r="J219" s="2" t="s">
        <v>501</v>
      </c>
      <c r="K219" s="2" t="s">
        <v>1013</v>
      </c>
      <c r="L219" s="3">
        <f>IF(OR(TRIM(I219)="",TRIM(K219)=""),"",IFERROR((VALUE(LEFT(TRIM(I219),4))-VALUE(LEFT(TRIM(K219),4)))*12+VALUE(MID(TRIM(I219),6,2))-VALUE(MID(TRIM(K219),6,2)),""))</f>
        <v>3</v>
      </c>
      <c r="M219" s="2" t="str">
        <f>IF(TRIM(H219)="","",IFERROR(LOOKUP(2,1/(ISNUMBER(SEARCH('منطق دسته‌بندی'!$A$2:$A$187,H219))),'منطق دسته‌بندی'!$B$2:$B$187),"سایر (نیازمند بررسی دستی)"))</f>
        <v>خرابی - پمپ تخلیه (تعویض)</v>
      </c>
      <c r="N219" s="2" t="s">
        <v>164</v>
      </c>
      <c r="O219" s="2" t="str" cm="1">
        <f t="array" ref="O219">IF(A219="","",IF(SUMPRODUCT(($B$2:$B$965=B219)*($C$2:$C$965=C219)*($D$2:$D$965=D219)*($E$2:$E$965=E219)*($F$2:$F$965=F219)*($G$2:$G$965=G219)*($H$2:$H$965=H219)*($I$2:$I$965=I219)*($J$2:$J$965=J219)*($K$2:$K$965=K219)*($N$2:$N$965=N219))=1,"خیر",IF(SUMPRODUCT(($B$2:B219=B219)*($C$2:C219=C219)*($D$2:D219=D219)*($E$2:E219=E219)*($F$2:F219=F219)*($G$2:G219=G219)*($H$2:H219=H219)*($I$2:I219=I219)*($J$2:J219=J219)*($K$2:K219=K219)*($N$2:N219=N219))=1,"بله-1","بله")))</f>
        <v>خیر</v>
      </c>
      <c r="P219" s="5" t="str" cm="1">
        <f t="array" ref="P219">IF(A219="","",IF(SUMPRODUCT(($F$2:$F$969=F219)*($I$2:$I$969=I219))=1,"خیر",IF(SUMPRODUCT(($F$2:F219=F219)*($I$2:I219=I219))=1,"بله-1","بله")))</f>
        <v>خیر</v>
      </c>
    </row>
    <row r="220" spans="1:16" ht="18.75" x14ac:dyDescent="0.25">
      <c r="A220" s="2" t="s">
        <v>958</v>
      </c>
      <c r="B220" s="2" t="s">
        <v>881</v>
      </c>
      <c r="C220" s="2" t="s">
        <v>882</v>
      </c>
      <c r="D220" s="2" t="s">
        <v>42</v>
      </c>
      <c r="E220" s="2" t="s">
        <v>43</v>
      </c>
      <c r="F220" s="2" t="s">
        <v>959</v>
      </c>
      <c r="G220" s="2" t="s">
        <v>78</v>
      </c>
      <c r="H220" s="2" t="s">
        <v>79</v>
      </c>
      <c r="I220" s="2" t="s">
        <v>960</v>
      </c>
      <c r="J220" s="2" t="s">
        <v>961</v>
      </c>
      <c r="K220" s="2" t="s">
        <v>665</v>
      </c>
      <c r="L220" s="3">
        <f>IF(OR(TRIM(I220)="",TRIM(K220)=""),"",IFERROR((VALUE(LEFT(TRIM(I220),4))-VALUE(LEFT(TRIM(K220),4)))*12+VALUE(MID(TRIM(I220),6,2))-VALUE(MID(TRIM(K220),6,2)),""))</f>
        <v>5</v>
      </c>
      <c r="M220" s="2" t="str">
        <f>IF(TRIM(H220)="","",IFERROR(LOOKUP(2,1/(ISNUMBER(SEARCH('منطق دسته‌بندی'!$A$2:$A$187,H220))),'منطق دسته‌بندی'!$B$2:$B$187),"سایر (نیازمند بررسی دستی)"))</f>
        <v>نشتی - درب مخزن نمک (تعمیر/آب‌بندی)</v>
      </c>
      <c r="N220" s="2" t="s">
        <v>24</v>
      </c>
      <c r="O220" s="2" t="str" cm="1">
        <f t="array" ref="O220">IF(A220="","",IF(SUMPRODUCT(($B$2:$B$965=B220)*($C$2:$C$965=C220)*($D$2:$D$965=D220)*($E$2:$E$965=E220)*($F$2:$F$965=F220)*($G$2:$G$965=G220)*($H$2:$H$965=H220)*($I$2:$I$965=I220)*($J$2:$J$965=J220)*($K$2:$K$965=K220)*($N$2:$N$965=N220))=1,"خیر",IF(SUMPRODUCT(($B$2:B220=B220)*($C$2:C220=C220)*($D$2:D220=D220)*($E$2:E220=E220)*($F$2:F220=F220)*($G$2:G220=G220)*($H$2:H220=H220)*($I$2:I220=I220)*($J$2:J220=J220)*($K$2:K220=K220)*($N$2:N220=N220))=1,"بله-1","بله")))</f>
        <v>خیر</v>
      </c>
      <c r="P220" s="5" t="str" cm="1">
        <f t="array" ref="P220">IF(A220="","",IF(SUMPRODUCT(($F$2:$F$969=F220)*($I$2:$I$969=I220))=1,"خیر",IF(SUMPRODUCT(($F$2:F220=F220)*($I$2:I220=I220))=1,"بله-1","بله")))</f>
        <v>خیر</v>
      </c>
    </row>
    <row r="221" spans="1:16" ht="18.75" x14ac:dyDescent="0.25">
      <c r="A221" s="2" t="s">
        <v>360</v>
      </c>
      <c r="B221" s="2" t="s">
        <v>16</v>
      </c>
      <c r="C221" s="2" t="s">
        <v>17</v>
      </c>
      <c r="D221" s="2" t="s">
        <v>42</v>
      </c>
      <c r="E221" s="2" t="s">
        <v>361</v>
      </c>
      <c r="F221" s="2" t="s">
        <v>357</v>
      </c>
      <c r="G221" s="2" t="s">
        <v>78</v>
      </c>
      <c r="H221" s="2" t="s">
        <v>79</v>
      </c>
      <c r="I221" s="2" t="s">
        <v>358</v>
      </c>
      <c r="J221" s="2" t="s">
        <v>195</v>
      </c>
      <c r="K221" s="2" t="s">
        <v>359</v>
      </c>
      <c r="L221" s="3">
        <f>IF(OR(TRIM(I221)="",TRIM(K221)=""),"",IFERROR((VALUE(LEFT(TRIM(I221),4))-VALUE(LEFT(TRIM(K221),4)))*12+VALUE(MID(TRIM(I221),6,2))-VALUE(MID(TRIM(K221),6,2)),""))</f>
        <v>3</v>
      </c>
      <c r="M221" s="2" t="str">
        <f>IF(TRIM(H221)="","",IFERROR(LOOKUP(2,1/(ISNUMBER(SEARCH('منطق دسته‌بندی'!$A$2:$A$187,H221))),'منطق دسته‌بندی'!$B$2:$B$187),"سایر (نیازمند بررسی دستی)"))</f>
        <v>نشتی - درب مخزن نمک (تعمیر/آب‌بندی)</v>
      </c>
      <c r="N221" s="2" t="s">
        <v>24</v>
      </c>
      <c r="O221" s="2" t="str" cm="1">
        <f t="array" ref="O221">IF(A221="","",IF(SUMPRODUCT(($B$2:$B$965=B221)*($C$2:$C$965=C221)*($D$2:$D$965=D221)*($E$2:$E$965=E221)*($F$2:$F$965=F221)*($G$2:$G$965=G221)*($H$2:$H$965=H221)*($I$2:$I$965=I221)*($J$2:$J$965=J221)*($K$2:$K$965=K221)*($N$2:$N$965=N221))=1,"خیر",IF(SUMPRODUCT(($B$2:B221=B221)*($C$2:C221=C221)*($D$2:D221=D221)*($E$2:E221=E221)*($F$2:F221=F221)*($G$2:G221=G221)*($H$2:H221=H221)*($I$2:I221=I221)*($J$2:J221=J221)*($K$2:K221=K221)*($N$2:N221=N221))=1,"بله-1","بله")))</f>
        <v>خیر</v>
      </c>
      <c r="P221" s="5" t="str" cm="1">
        <f t="array" ref="P221">IF(A221="","",IF(SUMPRODUCT(($F$2:$F$969=F221)*($I$2:$I$969=I221))=1,"خیر",IF(SUMPRODUCT(($F$2:F221=F221)*($I$2:I221=I221))=1,"بله-1","بله")))</f>
        <v>خیر</v>
      </c>
    </row>
    <row r="222" spans="1:16" ht="18.75" x14ac:dyDescent="0.25">
      <c r="A222" s="2" t="s">
        <v>971</v>
      </c>
      <c r="B222" s="2" t="s">
        <v>881</v>
      </c>
      <c r="C222" s="2" t="s">
        <v>882</v>
      </c>
      <c r="D222" s="2" t="s">
        <v>42</v>
      </c>
      <c r="E222" s="2" t="s">
        <v>43</v>
      </c>
      <c r="F222" s="2" t="s">
        <v>972</v>
      </c>
      <c r="G222" s="2" t="s">
        <v>898</v>
      </c>
      <c r="H222" s="2" t="s">
        <v>908</v>
      </c>
      <c r="I222" s="2" t="s">
        <v>973</v>
      </c>
      <c r="J222" s="2" t="s">
        <v>974</v>
      </c>
      <c r="K222" s="2" t="s">
        <v>549</v>
      </c>
      <c r="L222" s="3">
        <f>IF(OR(TRIM(I222)="",TRIM(K222)=""),"",IFERROR((VALUE(LEFT(TRIM(I222),4))-VALUE(LEFT(TRIM(K222),4)))*12+VALUE(MID(TRIM(I222),6,2))-VALUE(MID(TRIM(K222),6,2)),""))</f>
        <v>2</v>
      </c>
      <c r="M222" s="2" t="str">
        <f>IF(TRIM(H222)="","",IFERROR(LOOKUP(2,1/(ISNUMBER(SEARCH('منطق دسته‌بندی'!$A$2:$A$187,H222))),'منطق دسته‌بندی'!$B$2:$B$187),"سایر (نیازمند بررسی دستی)"))</f>
        <v>خرابی - برد الکترونیک (تعویض)</v>
      </c>
      <c r="N222" s="2" t="s">
        <v>912</v>
      </c>
      <c r="O222" s="2" t="str" cm="1">
        <f t="array" ref="O222">IF(A222="","",IF(SUMPRODUCT(($B$2:$B$965=B222)*($C$2:$C$965=C222)*($D$2:$D$965=D222)*($E$2:$E$965=E222)*($F$2:$F$965=F222)*($G$2:$G$965=G222)*($H$2:$H$965=H222)*($I$2:$I$965=I222)*($J$2:$J$965=J222)*($K$2:$K$965=K222)*($N$2:$N$965=N222))=1,"خیر",IF(SUMPRODUCT(($B$2:B222=B222)*($C$2:C222=C222)*($D$2:D222=D222)*($E$2:E222=E222)*($F$2:F222=F222)*($G$2:G222=G222)*($H$2:H222=H222)*($I$2:I222=I222)*($J$2:J222=J222)*($K$2:K222=K222)*($N$2:N222=N222))=1,"بله-1","بله")))</f>
        <v>خیر</v>
      </c>
      <c r="P222" s="5" t="str" cm="1">
        <f t="array" ref="P222">IF(A222="","",IF(SUMPRODUCT(($F$2:$F$969=F222)*($I$2:$I$969=I222))=1,"خیر",IF(SUMPRODUCT(($F$2:F222=F222)*($I$2:I222=I222))=1,"بله-1","بله")))</f>
        <v>خیر</v>
      </c>
    </row>
    <row r="223" spans="1:16" ht="18.75" x14ac:dyDescent="0.25">
      <c r="A223" s="2" t="s">
        <v>1079</v>
      </c>
      <c r="B223" s="2" t="s">
        <v>1040</v>
      </c>
      <c r="C223" s="2" t="s">
        <v>1041</v>
      </c>
      <c r="D223" s="2" t="s">
        <v>42</v>
      </c>
      <c r="E223" s="2" t="s">
        <v>361</v>
      </c>
      <c r="F223" s="2" t="s">
        <v>972</v>
      </c>
      <c r="G223" s="2" t="s">
        <v>148</v>
      </c>
      <c r="H223" s="2" t="s">
        <v>536</v>
      </c>
      <c r="I223" s="2" t="s">
        <v>1076</v>
      </c>
      <c r="J223" s="2" t="s">
        <v>974</v>
      </c>
      <c r="K223" s="2" t="s">
        <v>549</v>
      </c>
      <c r="L223" s="3">
        <f>IF(OR(TRIM(I223)="",TRIM(K223)=""),"",IFERROR((VALUE(LEFT(TRIM(I223),4))-VALUE(LEFT(TRIM(K223),4)))*12+VALUE(MID(TRIM(I223),6,2))-VALUE(MID(TRIM(K223),6,2)),""))</f>
        <v>4</v>
      </c>
      <c r="M223" s="2" t="str">
        <f>IF(TRIM(H223)="","",IFERROR(LOOKUP(2,1/(ISNUMBER(SEARCH('منطق دسته‌بندی'!$A$2:$A$187,H223))),'منطق دسته‌بندی'!$B$2:$B$187),"سایر (نیازمند بررسی دستی)"))</f>
        <v>خرابی - برد الکترونیک (تعویض)</v>
      </c>
      <c r="N223" s="2" t="s">
        <v>1080</v>
      </c>
      <c r="O223" s="2" t="str" cm="1">
        <f t="array" ref="O223">IF(A223="","",IF(SUMPRODUCT(($B$2:$B$965=B223)*($C$2:$C$965=C223)*($D$2:$D$965=D223)*($E$2:$E$965=E223)*($F$2:$F$965=F223)*($G$2:$G$965=G223)*($H$2:$H$965=H223)*($I$2:$I$965=I223)*($J$2:$J$965=J223)*($K$2:$K$965=K223)*($N$2:$N$965=N223))=1,"خیر",IF(SUMPRODUCT(($B$2:B223=B223)*($C$2:C223=C223)*($D$2:D223=D223)*($E$2:E223=E223)*($F$2:F223=F223)*($G$2:G223=G223)*($H$2:H223=H223)*($I$2:I223=I223)*($J$2:J223=J223)*($K$2:K223=K223)*($N$2:N223=N223))=1,"بله-1","بله")))</f>
        <v>خیر</v>
      </c>
      <c r="P223" s="5" t="str" cm="1">
        <f t="array" ref="P223">IF(A223="","",IF(SUMPRODUCT(($F$2:$F$969=F223)*($I$2:$I$969=I223))=1,"خیر",IF(SUMPRODUCT(($F$2:F223=F223)*($I$2:I223=I223))=1,"بله-1","بله")))</f>
        <v>خیر</v>
      </c>
    </row>
    <row r="224" spans="1:16" ht="37.5" x14ac:dyDescent="0.25">
      <c r="A224" s="2">
        <v>210021503</v>
      </c>
      <c r="B224" s="2" t="s">
        <v>1950</v>
      </c>
      <c r="C224" s="2" t="s">
        <v>1951</v>
      </c>
      <c r="D224" s="2" t="s">
        <v>42</v>
      </c>
      <c r="E224" s="2" t="s">
        <v>361</v>
      </c>
      <c r="F224" s="2" t="s">
        <v>1650</v>
      </c>
      <c r="G224" s="2" t="s">
        <v>1651</v>
      </c>
      <c r="H224" s="11" t="s">
        <v>162</v>
      </c>
      <c r="I224" s="2" t="s">
        <v>1379</v>
      </c>
      <c r="J224" s="2" t="s">
        <v>600</v>
      </c>
      <c r="K224" s="2" t="s">
        <v>540</v>
      </c>
      <c r="L224" s="3">
        <f>IF(OR(TRIM(I224)="",TRIM(K224)=""),"",IFERROR((VALUE(LEFT(TRIM(I224),4))-VALUE(LEFT(TRIM(K224),4)))*12+VALUE(MID(TRIM(I224),6,2))-VALUE(MID(TRIM(K224),6,2)),""))</f>
        <v>7</v>
      </c>
      <c r="M224" s="2" t="str">
        <f>IF(TRIM(H224)="","",IFERROR(LOOKUP(2,1/(ISNUMBER(SEARCH('منطق دسته‌بندی'!$A$2:$A$187,H224))),'منطق دسته‌بندی'!$B$2:$B$187),"سایر (نیازمند بررسی دستی)"))</f>
        <v>خرابی - پمپ تخلیه (تعویض)</v>
      </c>
      <c r="N224" s="2" t="s">
        <v>164</v>
      </c>
      <c r="O224" s="2" t="str" cm="1">
        <f t="array" ref="O224">IF(A224="","",IF(SUMPRODUCT(($B$2:$B$965=B224)*($C$2:$C$965=C224)*($D$2:$D$965=D224)*($E$2:$E$965=E224)*($F$2:$F$965=F224)*($G$2:$G$965=G224)*($H$2:$H$965=H224)*($I$2:$I$965=I224)*($J$2:$J$965=J224)*($K$2:$K$965=K224)*($N$2:$N$965=N224))=1,"خیر",IF(SUMPRODUCT(($B$2:B224=B224)*($C$2:C224=C224)*($D$2:D224=D224)*($E$2:E224=E224)*($F$2:F224=F224)*($G$2:G224=G224)*($H$2:H224=H224)*($I$2:I224=I224)*($J$2:J224=J224)*($K$2:K224=K224)*($N$2:N224=N224))=1,"بله-1","بله")))</f>
        <v>خیر</v>
      </c>
      <c r="P224" s="5" t="str" cm="1">
        <f t="array" ref="P224">IF(A224="","",IF(SUMPRODUCT(($F$2:$F$969=F224)*($I$2:$I$969=I224))=1,"خیر",IF(SUMPRODUCT(($F$2:F224=F224)*($I$2:I224=I224))=1,"بله-1","بله")))</f>
        <v>خیر</v>
      </c>
    </row>
    <row r="225" spans="1:16" ht="37.5" x14ac:dyDescent="0.25">
      <c r="A225" s="2" t="s">
        <v>1273</v>
      </c>
      <c r="B225" s="2" t="s">
        <v>1040</v>
      </c>
      <c r="C225" s="2" t="s">
        <v>1041</v>
      </c>
      <c r="D225" s="2" t="s">
        <v>42</v>
      </c>
      <c r="E225" s="2" t="s">
        <v>361</v>
      </c>
      <c r="F225" s="2" t="s">
        <v>1274</v>
      </c>
      <c r="G225" s="2" t="s">
        <v>1275</v>
      </c>
      <c r="H225" s="18" t="s">
        <v>221</v>
      </c>
      <c r="I225" s="2" t="s">
        <v>1276</v>
      </c>
      <c r="J225" s="2" t="s">
        <v>212</v>
      </c>
      <c r="K225" s="2" t="s">
        <v>508</v>
      </c>
      <c r="L225" s="3">
        <f>IF(OR(TRIM(I225)="",TRIM(K225)=""),"",IFERROR((VALUE(LEFT(TRIM(I225),4))-VALUE(LEFT(TRIM(K225),4)))*12+VALUE(MID(TRIM(I225),6,2))-VALUE(MID(TRIM(K225),6,2)),""))</f>
        <v>8</v>
      </c>
      <c r="M225" s="2" t="str">
        <f>IF(TRIM(H225)="","",IFERROR(LOOKUP(2,1/(ISNUMBER(SEARCH('منطق دسته‌بندی'!$A$2:$A$187,H225))),'منطق دسته‌بندی'!$B$2:$B$187),"سایر (نیازمند بررسی دستی)"))</f>
        <v>نشتی - پمپ تخلیه (تعمیر/آب‌بندی)</v>
      </c>
      <c r="N225" s="2" t="s">
        <v>2025</v>
      </c>
      <c r="O225" s="2" t="str" cm="1">
        <f t="array" ref="O225">IF(A225="","",IF(SUMPRODUCT(($B$2:$B$965=B225)*($C$2:$C$965=C225)*($D$2:$D$965=D225)*($E$2:$E$965=E225)*($F$2:$F$965=F225)*($G$2:$G$965=G225)*($H$2:$H$965=H225)*($I$2:$I$965=I225)*($J$2:$J$965=J225)*($K$2:$K$965=K225)*($N$2:$N$965=N225))=1,"خیر",IF(SUMPRODUCT(($B$2:B225=B225)*($C$2:C225=C225)*($D$2:D225=D225)*($E$2:E225=E225)*($F$2:F225=F225)*($G$2:G225=G225)*($H$2:H225=H225)*($I$2:I225=I225)*($J$2:J225=J225)*($K$2:K225=K225)*($N$2:N225=N225))=1,"بله-1","بله")))</f>
        <v>خیر</v>
      </c>
      <c r="P225" s="5" t="str" cm="1">
        <f t="array" ref="P225">IF(A225="","",IF(SUMPRODUCT(($F$2:$F$969=F225)*($I$2:$I$969=I225))=1,"خیر",IF(SUMPRODUCT(($F$2:F225=F225)*($I$2:I225=I225))=1,"بله-1","بله")))</f>
        <v>خیر</v>
      </c>
    </row>
    <row r="226" spans="1:16" ht="18.75" x14ac:dyDescent="0.25">
      <c r="A226" s="2" t="s">
        <v>792</v>
      </c>
      <c r="B226" s="2" t="s">
        <v>632</v>
      </c>
      <c r="C226" s="2" t="s">
        <v>633</v>
      </c>
      <c r="D226" s="2" t="s">
        <v>42</v>
      </c>
      <c r="E226" s="2" t="s">
        <v>43</v>
      </c>
      <c r="F226" s="2" t="s">
        <v>793</v>
      </c>
      <c r="G226" s="2" t="s">
        <v>794</v>
      </c>
      <c r="H226" s="2" t="s">
        <v>149</v>
      </c>
      <c r="I226" s="2" t="s">
        <v>773</v>
      </c>
      <c r="J226" s="2" t="s">
        <v>795</v>
      </c>
      <c r="K226" s="2" t="s">
        <v>773</v>
      </c>
      <c r="L226" s="3">
        <f>IF(OR(TRIM(I226)="",TRIM(K226)=""),"",IFERROR((VALUE(LEFT(TRIM(I226),4))-VALUE(LEFT(TRIM(K226),4)))*12+VALUE(MID(TRIM(I226),6,2))-VALUE(MID(TRIM(K226),6,2)),""))</f>
        <v>0</v>
      </c>
      <c r="M226" s="2" t="str">
        <f>IF(TRIM(H226)="","",IFERROR(LOOKUP(2,1/(ISNUMBER(SEARCH('منطق دسته‌بندی'!$A$2:$A$187,H226))),'منطق دسته‌بندی'!$B$2:$B$187),"سایر (نیازمند بررسی دستی)"))</f>
        <v>خرابی - شیربرقی (تعویض)</v>
      </c>
      <c r="N226" s="2" t="s">
        <v>151</v>
      </c>
      <c r="O226" s="2" t="str" cm="1">
        <f t="array" ref="O226">IF(A226="","",IF(SUMPRODUCT(($B$2:$B$965=B226)*($C$2:$C$965=C226)*($D$2:$D$965=D226)*($E$2:$E$965=E226)*($F$2:$F$965=F226)*($G$2:$G$965=G226)*($H$2:$H$965=H226)*($I$2:$I$965=I226)*($J$2:$J$965=J226)*($K$2:$K$965=K226)*($N$2:$N$965=N226))=1,"خیر",IF(SUMPRODUCT(($B$2:B226=B226)*($C$2:C226=C226)*($D$2:D226=D226)*($E$2:E226=E226)*($F$2:F226=F226)*($G$2:G226=G226)*($H$2:H226=H226)*($I$2:I226=I226)*($J$2:J226=J226)*($K$2:K226=K226)*($N$2:N226=N226))=1,"بله-1","بله")))</f>
        <v>خیر</v>
      </c>
      <c r="P226" s="5" t="str" cm="1">
        <f t="array" ref="P226">IF(A226="","",IF(SUMPRODUCT(($F$2:$F$969=F226)*($I$2:$I$969=I226))=1,"خیر",IF(SUMPRODUCT(($F$2:F226=F226)*($I$2:I226=I226))=1,"بله-1","بله")))</f>
        <v>خیر</v>
      </c>
    </row>
    <row r="227" spans="1:16" ht="18.75" x14ac:dyDescent="0.25">
      <c r="A227" s="2" t="s">
        <v>704</v>
      </c>
      <c r="B227" s="2" t="s">
        <v>632</v>
      </c>
      <c r="C227" s="2" t="s">
        <v>633</v>
      </c>
      <c r="D227" s="2" t="s">
        <v>42</v>
      </c>
      <c r="E227" s="2" t="s">
        <v>43</v>
      </c>
      <c r="F227" s="2" t="s">
        <v>705</v>
      </c>
      <c r="G227" s="2" t="s">
        <v>78</v>
      </c>
      <c r="H227" s="2" t="s">
        <v>487</v>
      </c>
      <c r="I227" s="2" t="s">
        <v>700</v>
      </c>
      <c r="J227" s="2" t="s">
        <v>558</v>
      </c>
      <c r="K227" s="2" t="s">
        <v>706</v>
      </c>
      <c r="L227" s="3">
        <f>IF(OR(TRIM(I227)="",TRIM(K227)=""),"",IFERROR((VALUE(LEFT(TRIM(I227),4))-VALUE(LEFT(TRIM(K227),4)))*12+VALUE(MID(TRIM(I227),6,2))-VALUE(MID(TRIM(K227),6,2)),""))</f>
        <v>5</v>
      </c>
      <c r="M227" s="2" t="str">
        <f>IF(TRIM(H227)="","",IFERROR(LOOKUP(2,1/(ISNUMBER(SEARCH('منطق دسته‌بندی'!$A$2:$A$187,H227))),'منطق دسته‌بندی'!$B$2:$B$187),"سایر (نیازمند بررسی دستی)"))</f>
        <v>نشتی - شیلنگ (تعمیر/آب‌بندی)</v>
      </c>
      <c r="N227" s="2" t="s">
        <v>24</v>
      </c>
      <c r="O227" s="2" t="str" cm="1">
        <f t="array" ref="O227">IF(A227="","",IF(SUMPRODUCT(($B$2:$B$965=B227)*($C$2:$C$965=C227)*($D$2:$D$965=D227)*($E$2:$E$965=E227)*($F$2:$F$965=F227)*($G$2:$G$965=G227)*($H$2:$H$965=H227)*($I$2:$I$965=I227)*($J$2:$J$965=J227)*($K$2:$K$965=K227)*($N$2:$N$965=N227))=1,"خیر",IF(SUMPRODUCT(($B$2:B227=B227)*($C$2:C227=C227)*($D$2:D227=D227)*($E$2:E227=E227)*($F$2:F227=F227)*($G$2:G227=G227)*($H$2:H227=H227)*($I$2:I227=I227)*($J$2:J227=J227)*($K$2:K227=K227)*($N$2:N227=N227))=1,"بله-1","بله")))</f>
        <v>خیر</v>
      </c>
      <c r="P227" s="5" t="str" cm="1">
        <f t="array" ref="P227">IF(A227="","",IF(SUMPRODUCT(($F$2:$F$969=F227)*($I$2:$I$969=I227))=1,"خیر",IF(SUMPRODUCT(($F$2:F227=F227)*($I$2:I227=I227))=1,"بله-1","بله")))</f>
        <v>خیر</v>
      </c>
    </row>
    <row r="228" spans="1:16" ht="18.75" x14ac:dyDescent="0.25">
      <c r="A228" s="2" t="s">
        <v>555</v>
      </c>
      <c r="B228" s="2" t="s">
        <v>16</v>
      </c>
      <c r="C228" s="2" t="s">
        <v>17</v>
      </c>
      <c r="D228" s="2" t="s">
        <v>42</v>
      </c>
      <c r="E228" s="2" t="s">
        <v>43</v>
      </c>
      <c r="F228" s="2" t="s">
        <v>556</v>
      </c>
      <c r="G228" s="2" t="s">
        <v>108</v>
      </c>
      <c r="H228" s="2" t="s">
        <v>557</v>
      </c>
      <c r="I228" s="2" t="s">
        <v>549</v>
      </c>
      <c r="J228" s="2" t="s">
        <v>558</v>
      </c>
      <c r="K228" s="2" t="s">
        <v>559</v>
      </c>
      <c r="L228" s="3">
        <f>IF(OR(TRIM(I228)="",TRIM(K228)=""),"",IFERROR((VALUE(LEFT(TRIM(I228),4))-VALUE(LEFT(TRIM(K228),4)))*12+VALUE(MID(TRIM(I228),6,2))-VALUE(MID(TRIM(K228),6,2)),""))</f>
        <v>3</v>
      </c>
      <c r="M228" s="2" t="str">
        <f>IF(TRIM(H228)="","",IFERROR(LOOKUP(2,1/(ISNUMBER(SEARCH('منطق دسته‌بندی'!$A$2:$A$187,H228))),'منطق دسته‌بندی'!$B$2:$B$187),"سایر (نیازمند بررسی دستی)"))</f>
        <v>مکانیزم درب - لولا (تنظیم)</v>
      </c>
      <c r="N228" s="2" t="s">
        <v>24</v>
      </c>
      <c r="O228" s="2" t="str" cm="1">
        <f t="array" ref="O228">IF(A228="","",IF(SUMPRODUCT(($B$2:$B$965=B228)*($C$2:$C$965=C228)*($D$2:$D$965=D228)*($E$2:$E$965=E228)*($F$2:$F$965=F228)*($G$2:$G$965=G228)*($H$2:$H$965=H228)*($I$2:$I$965=I228)*($J$2:$J$965=J228)*($K$2:$K$965=K228)*($N$2:$N$965=N228))=1,"خیر",IF(SUMPRODUCT(($B$2:B228=B228)*($C$2:C228=C228)*($D$2:D228=D228)*($E$2:E228=E228)*($F$2:F228=F228)*($G$2:G228=G228)*($H$2:H228=H228)*($I$2:I228=I228)*($J$2:J228=J228)*($K$2:K228=K228)*($N$2:N228=N228))=1,"بله-1","بله")))</f>
        <v>خیر</v>
      </c>
      <c r="P228" s="5" t="str" cm="1">
        <f t="array" ref="P228">IF(A228="","",IF(SUMPRODUCT(($F$2:$F$969=F228)*($I$2:$I$969=I228))=1,"خیر",IF(SUMPRODUCT(($F$2:F228=F228)*($I$2:I228=I228))=1,"بله-1","بله")))</f>
        <v>خیر</v>
      </c>
    </row>
    <row r="229" spans="1:16" ht="18.75" x14ac:dyDescent="0.25">
      <c r="A229" s="2">
        <v>100004255</v>
      </c>
      <c r="B229" s="2" t="s">
        <v>1950</v>
      </c>
      <c r="C229" s="2" t="s">
        <v>1951</v>
      </c>
      <c r="D229" s="2" t="s">
        <v>42</v>
      </c>
      <c r="E229" s="2" t="s">
        <v>361</v>
      </c>
      <c r="F229" s="2" t="s">
        <v>1634</v>
      </c>
      <c r="G229" s="2" t="s">
        <v>1635</v>
      </c>
      <c r="H229" s="2" t="s">
        <v>1636</v>
      </c>
      <c r="I229" s="2" t="s">
        <v>1474</v>
      </c>
      <c r="J229" s="2" t="s">
        <v>1401</v>
      </c>
      <c r="K229" s="2" t="s">
        <v>349</v>
      </c>
      <c r="L229" s="3">
        <f>IF(OR(TRIM(I229)="",TRIM(K229)=""),"",IFERROR((VALUE(LEFT(TRIM(I229),4))-VALUE(LEFT(TRIM(K229),4)))*12+VALUE(MID(TRIM(I229),6,2))-VALUE(MID(TRIM(K229),6,2)),""))</f>
        <v>10</v>
      </c>
      <c r="M229" s="2" t="str">
        <f>IF(TRIM(H229)="","",IFERROR(LOOKUP(2,1/(ISNUMBER(SEARCH('منطق دسته‌بندی'!$A$2:$A$187,H229))),'منطق دسته‌بندی'!$B$2:$B$187),"سایر (نیازمند بررسی دستی)"))</f>
        <v>شیلنگ - برخورد/لهیدگی (بازبینی)</v>
      </c>
      <c r="N229" s="2" t="s">
        <v>1381</v>
      </c>
      <c r="O229" s="2" t="str" cm="1">
        <f t="array" ref="O229">IF(A229="","",IF(SUMPRODUCT(($B$2:$B$965=B229)*($C$2:$C$965=C229)*($D$2:$D$965=D229)*($E$2:$E$965=E229)*($F$2:$F$965=F229)*($G$2:$G$965=G229)*($H$2:$H$965=H229)*($I$2:$I$965=I229)*($J$2:$J$965=J229)*($K$2:$K$965=K229)*($N$2:$N$965=N229))=1,"خیر",IF(SUMPRODUCT(($B$2:B229=B229)*($C$2:C229=C229)*($D$2:D229=D229)*($E$2:E229=E229)*($F$2:F229=F229)*($G$2:G229=G229)*($H$2:H229=H229)*($I$2:I229=I229)*($J$2:J229=J229)*($K$2:K229=K229)*($N$2:N229=N229))=1,"بله-1","بله")))</f>
        <v>خیر</v>
      </c>
      <c r="P229" s="5" t="str" cm="1">
        <f t="array" ref="P229">IF(A229="","",IF(SUMPRODUCT(($F$2:$F$969=F229)*($I$2:$I$969=I229))=1,"خیر",IF(SUMPRODUCT(($F$2:F229=F229)*($I$2:I229=I229))=1,"بله-1","بله")))</f>
        <v>خیر</v>
      </c>
    </row>
    <row r="230" spans="1:16" ht="18.75" x14ac:dyDescent="0.25">
      <c r="A230" s="2" t="s">
        <v>273</v>
      </c>
      <c r="B230" s="2" t="s">
        <v>16</v>
      </c>
      <c r="C230" s="2" t="s">
        <v>17</v>
      </c>
      <c r="D230" s="2" t="s">
        <v>42</v>
      </c>
      <c r="E230" s="2" t="s">
        <v>43</v>
      </c>
      <c r="F230" s="2" t="s">
        <v>274</v>
      </c>
      <c r="G230" s="2" t="s">
        <v>45</v>
      </c>
      <c r="H230" s="2" t="s">
        <v>275</v>
      </c>
      <c r="I230" s="2" t="s">
        <v>276</v>
      </c>
      <c r="J230" s="2" t="s">
        <v>277</v>
      </c>
      <c r="K230" s="2" t="s">
        <v>278</v>
      </c>
      <c r="L230" s="3">
        <f>IF(OR(TRIM(I230)="",TRIM(K230)=""),"",IFERROR((VALUE(LEFT(TRIM(I230),4))-VALUE(LEFT(TRIM(K230),4)))*12+VALUE(MID(TRIM(I230),6,2))-VALUE(MID(TRIM(K230),6,2)),""))</f>
        <v>7</v>
      </c>
      <c r="M230" s="2" t="str">
        <f>IF(TRIM(H230)="","",IFERROR(LOOKUP(2,1/(ISNUMBER(SEARCH('منطق دسته‌بندی'!$A$2:$A$187,H230))),'منطق دسته‌بندی'!$B$2:$B$187),"سایر (نیازمند بررسی دستی)"))</f>
        <v>خرابی - واترجت (تعویض)</v>
      </c>
      <c r="N230" s="2" t="s">
        <v>279</v>
      </c>
      <c r="O230" s="2" t="str" cm="1">
        <f t="array" ref="O230">IF(A230="","",IF(SUMPRODUCT(($B$2:$B$965=B230)*($C$2:$C$965=C230)*($D$2:$D$965=D230)*($E$2:$E$965=E230)*($F$2:$F$965=F230)*($G$2:$G$965=G230)*($H$2:$H$965=H230)*($I$2:$I$965=I230)*($J$2:$J$965=J230)*($K$2:$K$965=K230)*($N$2:$N$965=N230))=1,"خیر",IF(SUMPRODUCT(($B$2:B230=B230)*($C$2:C230=C230)*($D$2:D230=D230)*($E$2:E230=E230)*($F$2:F230=F230)*($G$2:G230=G230)*($H$2:H230=H230)*($I$2:I230=I230)*($J$2:J230=J230)*($K$2:K230=K230)*($N$2:N230=N230))=1,"بله-1","بله")))</f>
        <v>خیر</v>
      </c>
      <c r="P230" s="5" t="str" cm="1">
        <f t="array" ref="P230">IF(A230="","",IF(SUMPRODUCT(($F$2:$F$969=F230)*($I$2:$I$969=I230))=1,"خیر",IF(SUMPRODUCT(($F$2:F230=F230)*($I$2:I230=I230))=1,"بله-1","بله")))</f>
        <v>خیر</v>
      </c>
    </row>
    <row r="231" spans="1:16" ht="37.5" x14ac:dyDescent="0.25">
      <c r="A231" s="2" t="s">
        <v>509</v>
      </c>
      <c r="B231" s="2" t="s">
        <v>16</v>
      </c>
      <c r="C231" s="2" t="s">
        <v>17</v>
      </c>
      <c r="D231" s="2" t="s">
        <v>42</v>
      </c>
      <c r="E231" s="2" t="s">
        <v>43</v>
      </c>
      <c r="F231" s="2" t="s">
        <v>510</v>
      </c>
      <c r="G231" s="2" t="s">
        <v>73</v>
      </c>
      <c r="H231" s="2" t="s">
        <v>68</v>
      </c>
      <c r="I231" s="2" t="s">
        <v>507</v>
      </c>
      <c r="J231" s="2" t="s">
        <v>511</v>
      </c>
      <c r="K231" s="2" t="s">
        <v>512</v>
      </c>
      <c r="L231" s="3">
        <f>IF(OR(TRIM(I231)="",TRIM(K231)=""),"",IFERROR((VALUE(LEFT(TRIM(I231),4))-VALUE(LEFT(TRIM(K231),4)))*12+VALUE(MID(TRIM(I231),6,2))-VALUE(MID(TRIM(K231),6,2)),""))</f>
        <v>3</v>
      </c>
      <c r="M231" s="2" t="str">
        <f>IF(TRIM(H231)="","",IFERROR(LOOKUP(2,1/(ISNUMBER(SEARCH('منطق دسته‌بندی'!$A$2:$A$187,H231))),'منطق دسته‌بندی'!$B$2:$B$187),"سایر (نیازمند بررسی دستی)"))</f>
        <v>مکانیزم درب - میکروسوئیچ/قلاب (تعویض/تنظیم)</v>
      </c>
      <c r="N231" s="2" t="s">
        <v>75</v>
      </c>
      <c r="O231" s="2" t="str" cm="1">
        <f t="array" ref="O231">IF(A231="","",IF(SUMPRODUCT(($B$2:$B$965=B231)*($C$2:$C$965=C231)*($D$2:$D$965=D231)*($E$2:$E$965=E231)*($F$2:$F$965=F231)*($G$2:$G$965=G231)*($H$2:$H$965=H231)*($I$2:$I$965=I231)*($J$2:$J$965=J231)*($K$2:$K$965=K231)*($N$2:$N$965=N231))=1,"خیر",IF(SUMPRODUCT(($B$2:B231=B231)*($C$2:C231=C231)*($D$2:D231=D231)*($E$2:E231=E231)*($F$2:F231=F231)*($G$2:G231=G231)*($H$2:H231=H231)*($I$2:I231=I231)*($J$2:J231=J231)*($K$2:K231=K231)*($N$2:N231=N231))=1,"بله-1","بله")))</f>
        <v>خیر</v>
      </c>
      <c r="P231" s="5" t="str" cm="1">
        <f t="array" ref="P231">IF(A231="","",IF(SUMPRODUCT(($F$2:$F$969=F231)*($I$2:$I$969=I231))=1,"خیر",IF(SUMPRODUCT(($F$2:F231=F231)*($I$2:I231=I231))=1,"بله-1","بله")))</f>
        <v>خیر</v>
      </c>
    </row>
    <row r="232" spans="1:16" ht="18.75" x14ac:dyDescent="0.25">
      <c r="A232" s="2" t="s">
        <v>502</v>
      </c>
      <c r="B232" s="2" t="s">
        <v>16</v>
      </c>
      <c r="C232" s="2" t="s">
        <v>17</v>
      </c>
      <c r="D232" s="2" t="s">
        <v>42</v>
      </c>
      <c r="E232" s="2" t="s">
        <v>43</v>
      </c>
      <c r="F232" s="2" t="s">
        <v>497</v>
      </c>
      <c r="G232" s="2" t="s">
        <v>45</v>
      </c>
      <c r="H232" s="2" t="s">
        <v>503</v>
      </c>
      <c r="I232" s="2" t="s">
        <v>495</v>
      </c>
      <c r="J232" s="2" t="s">
        <v>334</v>
      </c>
      <c r="K232" s="2" t="s">
        <v>132</v>
      </c>
      <c r="L232" s="3">
        <f>IF(OR(TRIM(I232)="",TRIM(K232)=""),"",IFERROR((VALUE(LEFT(TRIM(I232),4))-VALUE(LEFT(TRIM(K232),4)))*12+VALUE(MID(TRIM(I232),6,2))-VALUE(MID(TRIM(K232),6,2)),""))</f>
        <v>7</v>
      </c>
      <c r="M232" s="2" t="str">
        <f>IF(TRIM(H232)="","",IFERROR(LOOKUP(2,1/(ISNUMBER(SEARCH('منطق دسته‌بندی'!$A$2:$A$187,H232))),'منطق دسته‌بندی'!$B$2:$B$187),"سایر (نیازمند بررسی دستی)"))</f>
        <v>نشتی - شیلنگ (تعمیر/آب‌بندی)</v>
      </c>
      <c r="N232" s="2" t="s">
        <v>24</v>
      </c>
      <c r="O232" s="2" t="str" cm="1">
        <f t="array" ref="O232">IF(A232="","",IF(SUMPRODUCT(($B$2:$B$965=B232)*($C$2:$C$965=C232)*($D$2:$D$965=D232)*($E$2:$E$965=E232)*($F$2:$F$965=F232)*($G$2:$G$965=G232)*($H$2:$H$965=H232)*($I$2:$I$965=I232)*($J$2:$J$965=J232)*($K$2:$K$965=K232)*($N$2:$N$965=N232))=1,"خیر",IF(SUMPRODUCT(($B$2:B232=B232)*($C$2:C232=C232)*($D$2:D232=D232)*($E$2:E232=E232)*($F$2:F232=F232)*($G$2:G232=G232)*($H$2:H232=H232)*($I$2:I232=I232)*($J$2:J232=J232)*($K$2:K232=K232)*($N$2:N232=N232))=1,"بله-1","بله")))</f>
        <v>خیر</v>
      </c>
      <c r="P232" s="5" t="str" cm="1">
        <f t="array" ref="P232">IF(A232="","",IF(SUMPRODUCT(($F$2:$F$969=F232)*($I$2:$I$969=I232))=1,"خیر",IF(SUMPRODUCT(($F$2:F232=F232)*($I$2:I232=I232))=1,"بله-1","بله")))</f>
        <v>بله-1</v>
      </c>
    </row>
    <row r="233" spans="1:16" ht="18.75" x14ac:dyDescent="0.25">
      <c r="A233" s="2" t="s">
        <v>496</v>
      </c>
      <c r="B233" s="2" t="s">
        <v>16</v>
      </c>
      <c r="C233" s="2" t="s">
        <v>17</v>
      </c>
      <c r="D233" s="2" t="s">
        <v>42</v>
      </c>
      <c r="E233" s="2" t="s">
        <v>43</v>
      </c>
      <c r="F233" s="2" t="s">
        <v>497</v>
      </c>
      <c r="G233" s="2" t="s">
        <v>45</v>
      </c>
      <c r="H233" s="2" t="s">
        <v>498</v>
      </c>
      <c r="I233" s="2" t="s">
        <v>495</v>
      </c>
      <c r="J233" s="2" t="s">
        <v>334</v>
      </c>
      <c r="K233" s="2" t="s">
        <v>132</v>
      </c>
      <c r="L233" s="3">
        <f>IF(OR(TRIM(I233)="",TRIM(K233)=""),"",IFERROR((VALUE(LEFT(TRIM(I233),4))-VALUE(LEFT(TRIM(K233),4)))*12+VALUE(MID(TRIM(I233),6,2))-VALUE(MID(TRIM(K233),6,2)),""))</f>
        <v>7</v>
      </c>
      <c r="M233" s="2" t="str">
        <f>IF(TRIM(H233)="","",IFERROR(LOOKUP(2,1/(ISNUMBER(SEARCH('منطق دسته‌بندی'!$A$2:$A$187,H233))),'منطق دسته‌بندی'!$B$2:$B$187),"سایر (نیازمند بررسی دستی)"))</f>
        <v>پمپ تخلیه - گرفتگی/بازبینی</v>
      </c>
      <c r="N233" s="2" t="s">
        <v>164</v>
      </c>
      <c r="O233" s="2" t="str" cm="1">
        <f t="array" ref="O233">IF(A233="","",IF(SUMPRODUCT(($B$2:$B$965=B233)*($C$2:$C$965=C233)*($D$2:$D$965=D233)*($E$2:$E$965=E233)*($F$2:$F$965=F233)*($G$2:$G$965=G233)*($H$2:$H$965=H233)*($I$2:$I$965=I233)*($J$2:$J$965=J233)*($K$2:$K$965=K233)*($N$2:$N$965=N233))=1,"خیر",IF(SUMPRODUCT(($B$2:B233=B233)*($C$2:C233=C233)*($D$2:D233=D233)*($E$2:E233=E233)*($F$2:F233=F233)*($G$2:G233=G233)*($H$2:H233=H233)*($I$2:I233=I233)*($J$2:J233=J233)*($K$2:K233=K233)*($N$2:N233=N233))=1,"بله-1","بله")))</f>
        <v>خیر</v>
      </c>
      <c r="P233" s="5" t="str" cm="1">
        <f t="array" ref="P233">IF(A233="","",IF(SUMPRODUCT(($F$2:$F$969=F233)*($I$2:$I$969=I233))=1,"خیر",IF(SUMPRODUCT(($F$2:F233=F233)*($I$2:I233=I233))=1,"بله-1","بله")))</f>
        <v>بله</v>
      </c>
    </row>
    <row r="234" spans="1:16" ht="18.75" x14ac:dyDescent="0.25">
      <c r="A234" s="2" t="s">
        <v>331</v>
      </c>
      <c r="B234" s="2" t="s">
        <v>16</v>
      </c>
      <c r="C234" s="2" t="s">
        <v>17</v>
      </c>
      <c r="D234" s="2" t="s">
        <v>42</v>
      </c>
      <c r="E234" s="2" t="s">
        <v>43</v>
      </c>
      <c r="F234" s="2" t="s">
        <v>332</v>
      </c>
      <c r="G234" s="2" t="s">
        <v>73</v>
      </c>
      <c r="H234" s="2" t="s">
        <v>333</v>
      </c>
      <c r="I234" s="2" t="s">
        <v>309</v>
      </c>
      <c r="J234" s="2" t="s">
        <v>334</v>
      </c>
      <c r="K234" s="2" t="s">
        <v>335</v>
      </c>
      <c r="L234" s="3">
        <f>IF(OR(TRIM(I234)="",TRIM(K234)=""),"",IFERROR((VALUE(LEFT(TRIM(I234),4))-VALUE(LEFT(TRIM(K234),4)))*12+VALUE(MID(TRIM(I234),6,2))-VALUE(MID(TRIM(K234),6,2)),""))</f>
        <v>15</v>
      </c>
      <c r="M234" s="2" t="str">
        <f>IF(TRIM(H234)="","",IFERROR(LOOKUP(2,1/(ISNUMBER(SEARCH('منطق دسته‌بندی'!$A$2:$A$187,H234))),'منطق دسته‌بندی'!$B$2:$B$187),"سایر (نیازمند بررسی دستی)"))</f>
        <v>ریست نرم‌افزاری (بدون قطعه)</v>
      </c>
      <c r="N234" s="2" t="s">
        <v>24</v>
      </c>
      <c r="O234" s="2" t="str" cm="1">
        <f t="array" ref="O234">IF(A234="","",IF(SUMPRODUCT(($B$2:$B$965=B234)*($C$2:$C$965=C234)*($D$2:$D$965=D234)*($E$2:$E$965=E234)*($F$2:$F$965=F234)*($G$2:$G$965=G234)*($H$2:$H$965=H234)*($I$2:$I$965=I234)*($J$2:$J$965=J234)*($K$2:$K$965=K234)*($N$2:$N$965=N234))=1,"خیر",IF(SUMPRODUCT(($B$2:B234=B234)*($C$2:C234=C234)*($D$2:D234=D234)*($E$2:E234=E234)*($F$2:F234=F234)*($G$2:G234=G234)*($H$2:H234=H234)*($I$2:I234=I234)*($J$2:J234=J234)*($K$2:K234=K234)*($N$2:N234=N234))=1,"بله-1","بله")))</f>
        <v>خیر</v>
      </c>
      <c r="P234" s="5" t="str" cm="1">
        <f t="array" ref="P234">IF(A234="","",IF(SUMPRODUCT(($F$2:$F$969=F234)*($I$2:$I$969=I234))=1,"خیر",IF(SUMPRODUCT(($F$2:F234=F234)*($I$2:I234=I234))=1,"بله-1","بله")))</f>
        <v>خیر</v>
      </c>
    </row>
    <row r="235" spans="1:16" ht="18.75" x14ac:dyDescent="0.25">
      <c r="A235" s="2">
        <v>810005597</v>
      </c>
      <c r="B235" s="2" t="s">
        <v>1040</v>
      </c>
      <c r="C235" s="2" t="s">
        <v>1041</v>
      </c>
      <c r="D235" s="2" t="s">
        <v>42</v>
      </c>
      <c r="E235" s="2" t="s">
        <v>361</v>
      </c>
      <c r="F235" s="2" t="s">
        <v>1550</v>
      </c>
      <c r="G235" s="2" t="s">
        <v>1383</v>
      </c>
      <c r="H235" s="2" t="s">
        <v>1551</v>
      </c>
      <c r="I235" s="2" t="s">
        <v>1451</v>
      </c>
      <c r="J235" s="2" t="s">
        <v>167</v>
      </c>
      <c r="K235" s="2" t="s">
        <v>599</v>
      </c>
      <c r="L235" s="3">
        <f>IF(OR(TRIM(I235)="",TRIM(K235)=""),"",IFERROR((VALUE(LEFT(TRIM(I235),4))-VALUE(LEFT(TRIM(K235),4)))*12+VALUE(MID(TRIM(I235),6,2))-VALUE(MID(TRIM(K235),6,2)),""))</f>
        <v>12</v>
      </c>
      <c r="M235" s="2" t="str">
        <f>IF(TRIM(H235)="","",IFERROR(LOOKUP(2,1/(ISNUMBER(SEARCH('منطق دسته‌بندی'!$A$2:$A$187,H235))),'منطق دسته‌بندی'!$B$2:$B$187),"سایر (نیازمند بررسی دستی)"))</f>
        <v>نشتی - درب مخزن نمک (تعمیر/آب‌بندی)</v>
      </c>
      <c r="N235" s="2" t="s">
        <v>1381</v>
      </c>
      <c r="O235" s="2" t="str" cm="1">
        <f t="array" ref="O235">IF(A235="","",IF(SUMPRODUCT(($B$2:$B$965=B235)*($C$2:$C$965=C235)*($D$2:$D$965=D235)*($E$2:$E$965=E235)*($F$2:$F$965=F235)*($G$2:$G$965=G235)*($H$2:$H$965=H235)*($I$2:$I$965=I235)*($J$2:$J$965=J235)*($K$2:$K$965=K235)*($N$2:$N$965=N235))=1,"خیر",IF(SUMPRODUCT(($B$2:B235=B235)*($C$2:C235=C235)*($D$2:D235=D235)*($E$2:E235=E235)*($F$2:F235=F235)*($G$2:G235=G235)*($H$2:H235=H235)*($I$2:I235=I235)*($J$2:J235=J235)*($K$2:K235=K235)*($N$2:N235=N235))=1,"بله-1","بله")))</f>
        <v>خیر</v>
      </c>
      <c r="P235" s="5" t="str" cm="1">
        <f t="array" ref="P235">IF(A235="","",IF(SUMPRODUCT(($F$2:$F$969=F235)*($I$2:$I$969=I235))=1,"خیر",IF(SUMPRODUCT(($F$2:F235=F235)*($I$2:I235=I235))=1,"بله-1","بله")))</f>
        <v>خیر</v>
      </c>
    </row>
    <row r="236" spans="1:16" ht="37.5" x14ac:dyDescent="0.25">
      <c r="A236" s="2" t="s">
        <v>165</v>
      </c>
      <c r="B236" s="2" t="s">
        <v>16</v>
      </c>
      <c r="C236" s="2" t="s">
        <v>17</v>
      </c>
      <c r="D236" s="2" t="s">
        <v>42</v>
      </c>
      <c r="E236" s="2" t="s">
        <v>43</v>
      </c>
      <c r="F236" s="2" t="s">
        <v>166</v>
      </c>
      <c r="G236" s="2" t="s">
        <v>73</v>
      </c>
      <c r="H236" s="2" t="s">
        <v>68</v>
      </c>
      <c r="I236" s="2" t="s">
        <v>47</v>
      </c>
      <c r="J236" s="2" t="s">
        <v>167</v>
      </c>
      <c r="K236" s="2" t="s">
        <v>168</v>
      </c>
      <c r="L236" s="3">
        <f>IF(OR(TRIM(I236)="",TRIM(K236)=""),"",IFERROR((VALUE(LEFT(TRIM(I236),4))-VALUE(LEFT(TRIM(K236),4)))*12+VALUE(MID(TRIM(I236),6,2))-VALUE(MID(TRIM(K236),6,2)),""))</f>
        <v>1</v>
      </c>
      <c r="M236" s="2" t="str">
        <f>IF(TRIM(H236)="","",IFERROR(LOOKUP(2,1/(ISNUMBER(SEARCH('منطق دسته‌بندی'!$A$2:$A$187,H236))),'منطق دسته‌بندی'!$B$2:$B$187),"سایر (نیازمند بررسی دستی)"))</f>
        <v>مکانیزم درب - میکروسوئیچ/قلاب (تعویض/تنظیم)</v>
      </c>
      <c r="N236" s="2" t="s">
        <v>75</v>
      </c>
      <c r="O236" s="2" t="str" cm="1">
        <f t="array" ref="O236">IF(A236="","",IF(SUMPRODUCT(($B$2:$B$965=B236)*($C$2:$C$965=C236)*($D$2:$D$965=D236)*($E$2:$E$965=E236)*($F$2:$F$965=F236)*($G$2:$G$965=G236)*($H$2:$H$965=H236)*($I$2:$I$965=I236)*($J$2:$J$965=J236)*($K$2:$K$965=K236)*($N$2:$N$965=N236))=1,"خیر",IF(SUMPRODUCT(($B$2:B236=B236)*($C$2:C236=C236)*($D$2:D236=D236)*($E$2:E236=E236)*($F$2:F236=F236)*($G$2:G236=G236)*($H$2:H236=H236)*($I$2:I236=I236)*($J$2:J236=J236)*($K$2:K236=K236)*($N$2:N236=N236))=1,"بله-1","بله")))</f>
        <v>خیر</v>
      </c>
      <c r="P236" s="5" t="str" cm="1">
        <f t="array" ref="P236">IF(A236="","",IF(SUMPRODUCT(($F$2:$F$969=F236)*($I$2:$I$969=I236))=1,"خیر",IF(SUMPRODUCT(($F$2:F236=F236)*($I$2:I236=I236))=1,"بله-1","بله")))</f>
        <v>خیر</v>
      </c>
    </row>
    <row r="237" spans="1:16" ht="37.5" x14ac:dyDescent="0.25">
      <c r="A237" s="2" t="s">
        <v>627</v>
      </c>
      <c r="B237" s="2" t="s">
        <v>16</v>
      </c>
      <c r="C237" s="2" t="s">
        <v>17</v>
      </c>
      <c r="D237" s="2" t="s">
        <v>42</v>
      </c>
      <c r="E237" s="2" t="s">
        <v>43</v>
      </c>
      <c r="F237" s="2" t="s">
        <v>628</v>
      </c>
      <c r="G237" s="2" t="s">
        <v>73</v>
      </c>
      <c r="H237" s="2" t="s">
        <v>68</v>
      </c>
      <c r="I237" s="2" t="s">
        <v>629</v>
      </c>
      <c r="J237" s="2" t="s">
        <v>230</v>
      </c>
      <c r="K237" s="2" t="s">
        <v>630</v>
      </c>
      <c r="L237" s="3">
        <f>IF(OR(TRIM(I237)="",TRIM(K237)=""),"",IFERROR((VALUE(LEFT(TRIM(I237),4))-VALUE(LEFT(TRIM(K237),4)))*12+VALUE(MID(TRIM(I237),6,2))-VALUE(MID(TRIM(K237),6,2)),""))</f>
        <v>8</v>
      </c>
      <c r="M237" s="2" t="str">
        <f>IF(TRIM(H237)="","",IFERROR(LOOKUP(2,1/(ISNUMBER(SEARCH('منطق دسته‌بندی'!$A$2:$A$187,H237))),'منطق دسته‌بندی'!$B$2:$B$187),"سایر (نیازمند بررسی دستی)"))</f>
        <v>مکانیزم درب - میکروسوئیچ/قلاب (تعویض/تنظیم)</v>
      </c>
      <c r="N237" s="2" t="s">
        <v>75</v>
      </c>
      <c r="O237" s="2" t="str" cm="1">
        <f t="array" ref="O237">IF(A237="","",IF(SUMPRODUCT(($B$2:$B$965=B237)*($C$2:$C$965=C237)*($D$2:$D$965=D237)*($E$2:$E$965=E237)*($F$2:$F$965=F237)*($G$2:$G$965=G237)*($H$2:$H$965=H237)*($I$2:$I$965=I237)*($J$2:$J$965=J237)*($K$2:$K$965=K237)*($N$2:$N$965=N237))=1,"خیر",IF(SUMPRODUCT(($B$2:B237=B237)*($C$2:C237=C237)*($D$2:D237=D237)*($E$2:E237=E237)*($F$2:F237=F237)*($G$2:G237=G237)*($H$2:H237=H237)*($I$2:I237=I237)*($J$2:J237=J237)*($K$2:K237=K237)*($N$2:N237=N237))=1,"بله-1","بله")))</f>
        <v>خیر</v>
      </c>
      <c r="P237" s="5" t="str" cm="1">
        <f t="array" ref="P237">IF(A237="","",IF(SUMPRODUCT(($F$2:$F$969=F237)*($I$2:$I$969=I237))=1,"خیر",IF(SUMPRODUCT(($F$2:F237=F237)*($I$2:I237=I237))=1,"بله-1","بله")))</f>
        <v>خیر</v>
      </c>
    </row>
    <row r="238" spans="1:16" ht="37.5" x14ac:dyDescent="0.25">
      <c r="A238" s="2" t="s">
        <v>1009</v>
      </c>
      <c r="B238" s="2" t="s">
        <v>881</v>
      </c>
      <c r="C238" s="2" t="s">
        <v>882</v>
      </c>
      <c r="D238" s="2" t="s">
        <v>42</v>
      </c>
      <c r="E238" s="2" t="s">
        <v>43</v>
      </c>
      <c r="F238" s="2" t="s">
        <v>1010</v>
      </c>
      <c r="G238" s="2" t="s">
        <v>608</v>
      </c>
      <c r="H238" s="2" t="s">
        <v>68</v>
      </c>
      <c r="I238" s="2" t="s">
        <v>1011</v>
      </c>
      <c r="J238" s="2" t="s">
        <v>1012</v>
      </c>
      <c r="K238" s="2" t="s">
        <v>1013</v>
      </c>
      <c r="L238" s="3">
        <f>IF(OR(TRIM(I238)="",TRIM(K238)=""),"",IFERROR((VALUE(LEFT(TRIM(I238),4))-VALUE(LEFT(TRIM(K238),4)))*12+VALUE(MID(TRIM(I238),6,2))-VALUE(MID(TRIM(K238),6,2)),""))</f>
        <v>0</v>
      </c>
      <c r="M238" s="2" t="str">
        <f>IF(TRIM(H238)="","",IFERROR(LOOKUP(2,1/(ISNUMBER(SEARCH('منطق دسته‌بندی'!$A$2:$A$187,H238))),'منطق دسته‌بندی'!$B$2:$B$187),"سایر (نیازمند بررسی دستی)"))</f>
        <v>مکانیزم درب - میکروسوئیچ/قلاب (تعویض/تنظیم)</v>
      </c>
      <c r="N238" s="2" t="s">
        <v>75</v>
      </c>
      <c r="O238" s="2" t="str" cm="1">
        <f t="array" ref="O238">IF(A238="","",IF(SUMPRODUCT(($B$2:$B$965=B238)*($C$2:$C$965=C238)*($D$2:$D$965=D238)*($E$2:$E$965=E238)*($F$2:$F$965=F238)*($G$2:$G$965=G238)*($H$2:$H$965=H238)*($I$2:$I$965=I238)*($J$2:$J$965=J238)*($K$2:$K$965=K238)*($N$2:$N$965=N238))=1,"خیر",IF(SUMPRODUCT(($B$2:B238=B238)*($C$2:C238=C238)*($D$2:D238=D238)*($E$2:E238=E238)*($F$2:F238=F238)*($G$2:G238=G238)*($H$2:H238=H238)*($I$2:I238=I238)*($J$2:J238=J238)*($K$2:K238=K238)*($N$2:N238=N238))=1,"بله-1","بله")))</f>
        <v>خیر</v>
      </c>
      <c r="P238" s="5" t="str" cm="1">
        <f t="array" ref="P238">IF(A238="","",IF(SUMPRODUCT(($F$2:$F$969=F238)*($I$2:$I$969=I238))=1,"خیر",IF(SUMPRODUCT(($F$2:F238=F238)*($I$2:I238=I238))=1,"بله-1","بله")))</f>
        <v>خیر</v>
      </c>
    </row>
    <row r="239" spans="1:16" ht="18.75" x14ac:dyDescent="0.25">
      <c r="A239" s="2">
        <v>210021506</v>
      </c>
      <c r="B239" s="2" t="s">
        <v>1950</v>
      </c>
      <c r="C239" s="2" t="s">
        <v>1951</v>
      </c>
      <c r="D239" s="2" t="s">
        <v>42</v>
      </c>
      <c r="E239" s="2" t="s">
        <v>361</v>
      </c>
      <c r="F239" s="2" t="s">
        <v>1548</v>
      </c>
      <c r="G239" s="2" t="s">
        <v>1549</v>
      </c>
      <c r="H239" s="18" t="s">
        <v>221</v>
      </c>
      <c r="I239" s="2" t="s">
        <v>1379</v>
      </c>
      <c r="J239" s="2" t="s">
        <v>1012</v>
      </c>
      <c r="K239" s="2" t="s">
        <v>1310</v>
      </c>
      <c r="L239" s="3">
        <f>IF(OR(TRIM(I239)="",TRIM(K239)=""),"",IFERROR((VALUE(LEFT(TRIM(I239),4))-VALUE(LEFT(TRIM(K239),4)))*12+VALUE(MID(TRIM(I239),6,2))-VALUE(MID(TRIM(K239),6,2)),""))</f>
        <v>11</v>
      </c>
      <c r="M239" s="2" t="str">
        <f>IF(TRIM(H239)="","",IFERROR(LOOKUP(2,1/(ISNUMBER(SEARCH('منطق دسته‌بندی'!$A$2:$A$187,H239))),'منطق دسته‌بندی'!$B$2:$B$187),"سایر (نیازمند بررسی دستی)"))</f>
        <v>نشتی - پمپ تخلیه (تعمیر/آب‌بندی)</v>
      </c>
      <c r="N239" s="2" t="s">
        <v>2025</v>
      </c>
      <c r="O239" s="2" t="str" cm="1">
        <f t="array" ref="O239">IF(A239="","",IF(SUMPRODUCT(($B$2:$B$965=B239)*($C$2:$C$965=C239)*($D$2:$D$965=D239)*($E$2:$E$965=E239)*($F$2:$F$965=F239)*($G$2:$G$965=G239)*($H$2:$H$965=H239)*($I$2:$I$965=I239)*($J$2:$J$965=J239)*($K$2:$K$965=K239)*($N$2:$N$965=N239))=1,"خیر",IF(SUMPRODUCT(($B$2:B239=B239)*($C$2:C239=C239)*($D$2:D239=D239)*($E$2:E239=E239)*($F$2:F239=F239)*($G$2:G239=G239)*($H$2:H239=H239)*($I$2:I239=I239)*($J$2:J239=J239)*($K$2:K239=K239)*($N$2:N239=N239))=1,"بله-1","بله")))</f>
        <v>خیر</v>
      </c>
      <c r="P239" s="5" t="str" cm="1">
        <f t="array" ref="P239">IF(A239="","",IF(SUMPRODUCT(($F$2:$F$969=F239)*($I$2:$I$969=I239))=1,"خیر",IF(SUMPRODUCT(($F$2:F239=F239)*($I$2:I239=I239))=1,"بله-1","بله")))</f>
        <v>خیر</v>
      </c>
    </row>
    <row r="240" spans="1:16" ht="18.75" x14ac:dyDescent="0.25">
      <c r="A240" s="2" t="s">
        <v>1093</v>
      </c>
      <c r="B240" s="2" t="s">
        <v>1040</v>
      </c>
      <c r="C240" s="2" t="s">
        <v>1041</v>
      </c>
      <c r="D240" s="2" t="s">
        <v>42</v>
      </c>
      <c r="E240" s="2" t="s">
        <v>361</v>
      </c>
      <c r="F240" s="2" t="s">
        <v>1094</v>
      </c>
      <c r="G240" s="2" t="s">
        <v>1095</v>
      </c>
      <c r="H240" s="2" t="s">
        <v>1096</v>
      </c>
      <c r="I240" s="2" t="s">
        <v>1092</v>
      </c>
      <c r="J240" s="2" t="s">
        <v>1012</v>
      </c>
      <c r="K240" s="2" t="s">
        <v>1097</v>
      </c>
      <c r="L240" s="3">
        <f>IF(OR(TRIM(I240)="",TRIM(K240)=""),"",IFERROR((VALUE(LEFT(TRIM(I240),4))-VALUE(LEFT(TRIM(K240),4)))*12+VALUE(MID(TRIM(I240),6,2))-VALUE(MID(TRIM(K240),6,2)),""))</f>
        <v>12</v>
      </c>
      <c r="M240" s="2" t="str">
        <f>IF(TRIM(H240)="","",IFERROR(LOOKUP(2,1/(ISNUMBER(SEARCH('منطق دسته‌بندی'!$A$2:$A$187,H240))),'منطق دسته‌بندی'!$B$2:$B$187),"سایر (نیازمند بررسی دستی)"))</f>
        <v>غیرگارانتی/بدون قطعه</v>
      </c>
      <c r="N240" s="2" t="s">
        <v>24</v>
      </c>
      <c r="O240" s="2" t="str" cm="1">
        <f t="array" ref="O240">IF(A240="","",IF(SUMPRODUCT(($B$2:$B$965=B240)*($C$2:$C$965=C240)*($D$2:$D$965=D240)*($E$2:$E$965=E240)*($F$2:$F$965=F240)*($G$2:$G$965=G240)*($H$2:$H$965=H240)*($I$2:$I$965=I240)*($J$2:$J$965=J240)*($K$2:$K$965=K240)*($N$2:$N$965=N240))=1,"خیر",IF(SUMPRODUCT(($B$2:B240=B240)*($C$2:C240=C240)*($D$2:D240=D240)*($E$2:E240=E240)*($F$2:F240=F240)*($G$2:G240=G240)*($H$2:H240=H240)*($I$2:I240=I240)*($J$2:J240=J240)*($K$2:K240=K240)*($N$2:N240=N240))=1,"بله-1","بله")))</f>
        <v>خیر</v>
      </c>
      <c r="P240" s="5" t="str" cm="1">
        <f t="array" ref="P240">IF(A240="","",IF(SUMPRODUCT(($F$2:$F$969=F240)*($I$2:$I$969=I240))=1,"خیر",IF(SUMPRODUCT(($F$2:F240=F240)*($I$2:I240=I240))=1,"بله-1","بله")))</f>
        <v>خیر</v>
      </c>
    </row>
    <row r="241" spans="1:16" ht="18.75" x14ac:dyDescent="0.25">
      <c r="A241" s="2" t="s">
        <v>962</v>
      </c>
      <c r="B241" s="2" t="s">
        <v>881</v>
      </c>
      <c r="C241" s="2" t="s">
        <v>882</v>
      </c>
      <c r="D241" s="2" t="s">
        <v>42</v>
      </c>
      <c r="E241" s="2" t="s">
        <v>43</v>
      </c>
      <c r="F241" s="2" t="s">
        <v>963</v>
      </c>
      <c r="G241" s="2" t="s">
        <v>898</v>
      </c>
      <c r="H241" s="2" t="s">
        <v>908</v>
      </c>
      <c r="I241" s="2" t="s">
        <v>964</v>
      </c>
      <c r="J241" s="2" t="s">
        <v>965</v>
      </c>
      <c r="K241" s="2" t="s">
        <v>966</v>
      </c>
      <c r="L241" s="3">
        <f>IF(OR(TRIM(I241)="",TRIM(K241)=""),"",IFERROR((VALUE(LEFT(TRIM(I241),4))-VALUE(LEFT(TRIM(K241),4)))*12+VALUE(MID(TRIM(I241),6,2))-VALUE(MID(TRIM(K241),6,2)),""))</f>
        <v>9</v>
      </c>
      <c r="M241" s="2" t="str">
        <f>IF(TRIM(H241)="","",IFERROR(LOOKUP(2,1/(ISNUMBER(SEARCH('منطق دسته‌بندی'!$A$2:$A$187,H241))),'منطق دسته‌بندی'!$B$2:$B$187),"سایر (نیازمند بررسی دستی)"))</f>
        <v>خرابی - برد الکترونیک (تعویض)</v>
      </c>
      <c r="N241" s="2" t="s">
        <v>912</v>
      </c>
      <c r="O241" s="2" t="str" cm="1">
        <f t="array" ref="O241">IF(A241="","",IF(SUMPRODUCT(($B$2:$B$965=B241)*($C$2:$C$965=C241)*($D$2:$D$965=D241)*($E$2:$E$965=E241)*($F$2:$F$965=F241)*($G$2:$G$965=G241)*($H$2:$H$965=H241)*($I$2:$I$965=I241)*($J$2:$J$965=J241)*($K$2:$K$965=K241)*($N$2:$N$965=N241))=1,"خیر",IF(SUMPRODUCT(($B$2:B241=B241)*($C$2:C241=C241)*($D$2:D241=D241)*($E$2:E241=E241)*($F$2:F241=F241)*($G$2:G241=G241)*($H$2:H241=H241)*($I$2:I241=I241)*($J$2:J241=J241)*($K$2:K241=K241)*($N$2:N241=N241))=1,"بله-1","بله")))</f>
        <v>خیر</v>
      </c>
      <c r="P241" s="5" t="str" cm="1">
        <f t="array" ref="P241">IF(A241="","",IF(SUMPRODUCT(($F$2:$F$969=F241)*($I$2:$I$969=I241))=1,"خیر",IF(SUMPRODUCT(($F$2:F241=F241)*($I$2:I241=I241))=1,"بله-1","بله")))</f>
        <v>خیر</v>
      </c>
    </row>
    <row r="242" spans="1:16" ht="37.5" x14ac:dyDescent="0.25">
      <c r="A242" s="2" t="s">
        <v>583</v>
      </c>
      <c r="B242" s="2" t="s">
        <v>16</v>
      </c>
      <c r="C242" s="2" t="s">
        <v>17</v>
      </c>
      <c r="D242" s="2" t="s">
        <v>42</v>
      </c>
      <c r="E242" s="2" t="s">
        <v>43</v>
      </c>
      <c r="F242" s="2" t="s">
        <v>584</v>
      </c>
      <c r="G242" s="2" t="s">
        <v>73</v>
      </c>
      <c r="H242" s="2" t="s">
        <v>68</v>
      </c>
      <c r="I242" s="2" t="s">
        <v>580</v>
      </c>
      <c r="J242" s="2" t="s">
        <v>585</v>
      </c>
      <c r="K242" s="2" t="s">
        <v>586</v>
      </c>
      <c r="L242" s="3">
        <f>IF(OR(TRIM(I242)="",TRIM(K242)=""),"",IFERROR((VALUE(LEFT(TRIM(I242),4))-VALUE(LEFT(TRIM(K242),4)))*12+VALUE(MID(TRIM(I242),6,2))-VALUE(MID(TRIM(K242),6,2)),""))</f>
        <v>7</v>
      </c>
      <c r="M242" s="2" t="str">
        <f>IF(TRIM(H242)="","",IFERROR(LOOKUP(2,1/(ISNUMBER(SEARCH('منطق دسته‌بندی'!$A$2:$A$187,H242))),'منطق دسته‌بندی'!$B$2:$B$187),"سایر (نیازمند بررسی دستی)"))</f>
        <v>مکانیزم درب - میکروسوئیچ/قلاب (تعویض/تنظیم)</v>
      </c>
      <c r="N242" s="2" t="s">
        <v>75</v>
      </c>
      <c r="O242" s="2" t="str" cm="1">
        <f t="array" ref="O242">IF(A242="","",IF(SUMPRODUCT(($B$2:$B$965=B242)*($C$2:$C$965=C242)*($D$2:$D$965=D242)*($E$2:$E$965=E242)*($F$2:$F$965=F242)*($G$2:$G$965=G242)*($H$2:$H$965=H242)*($I$2:$I$965=I242)*($J$2:$J$965=J242)*($K$2:$K$965=K242)*($N$2:$N$965=N242))=1,"خیر",IF(SUMPRODUCT(($B$2:B242=B242)*($C$2:C242=C242)*($D$2:D242=D242)*($E$2:E242=E242)*($F$2:F242=F242)*($G$2:G242=G242)*($H$2:H242=H242)*($I$2:I242=I242)*($J$2:J242=J242)*($K$2:K242=K242)*($N$2:N242=N242))=1,"بله-1","بله")))</f>
        <v>خیر</v>
      </c>
      <c r="P242" s="5" t="str" cm="1">
        <f t="array" ref="P242">IF(A242="","",IF(SUMPRODUCT(($F$2:$F$969=F242)*($I$2:$I$969=I242))=1,"خیر",IF(SUMPRODUCT(($F$2:F242=F242)*($I$2:I242=I242))=1,"بله-1","بله")))</f>
        <v>خیر</v>
      </c>
    </row>
    <row r="243" spans="1:16" ht="18.75" x14ac:dyDescent="0.25">
      <c r="A243" s="2" t="s">
        <v>160</v>
      </c>
      <c r="B243" s="2" t="s">
        <v>16</v>
      </c>
      <c r="C243" s="2" t="s">
        <v>17</v>
      </c>
      <c r="D243" s="2" t="s">
        <v>42</v>
      </c>
      <c r="E243" s="2" t="s">
        <v>43</v>
      </c>
      <c r="F243" s="2" t="s">
        <v>161</v>
      </c>
      <c r="G243" s="2" t="s">
        <v>45</v>
      </c>
      <c r="H243" s="11" t="s">
        <v>162</v>
      </c>
      <c r="I243" s="2" t="s">
        <v>47</v>
      </c>
      <c r="J243" s="2" t="s">
        <v>163</v>
      </c>
      <c r="K243" s="2" t="s">
        <v>163</v>
      </c>
      <c r="L243" s="3">
        <f>IF(OR(TRIM(I243)="",TRIM(K243)=""),"",IFERROR((VALUE(LEFT(TRIM(I243),4))-VALUE(LEFT(TRIM(K243),4)))*12+VALUE(MID(TRIM(I243),6,2))-VALUE(MID(TRIM(K243),6,2)),""))</f>
        <v>14</v>
      </c>
      <c r="M243" s="2" t="str">
        <f>IF(TRIM(H243)="","",IFERROR(LOOKUP(2,1/(ISNUMBER(SEARCH('منطق دسته‌بندی'!$A$2:$A$187,H243))),'منطق دسته‌بندی'!$B$2:$B$187),"سایر (نیازمند بررسی دستی)"))</f>
        <v>خرابی - پمپ تخلیه (تعویض)</v>
      </c>
      <c r="N243" s="2" t="s">
        <v>164</v>
      </c>
      <c r="O243" s="2" t="str" cm="1">
        <f t="array" ref="O243">IF(A243="","",IF(SUMPRODUCT(($B$2:$B$965=B243)*($C$2:$C$965=C243)*($D$2:$D$965=D243)*($E$2:$E$965=E243)*($F$2:$F$965=F243)*($G$2:$G$965=G243)*($H$2:$H$965=H243)*($I$2:$I$965=I243)*($J$2:$J$965=J243)*($K$2:$K$965=K243)*($N$2:$N$965=N243))=1,"خیر",IF(SUMPRODUCT(($B$2:B243=B243)*($C$2:C243=C243)*($D$2:D243=D243)*($E$2:E243=E243)*($F$2:F243=F243)*($G$2:G243=G243)*($H$2:H243=H243)*($I$2:I243=I243)*($J$2:J243=J243)*($K$2:K243=K243)*($N$2:N243=N243))=1,"بله-1","بله")))</f>
        <v>خیر</v>
      </c>
      <c r="P243" s="5" t="str" cm="1">
        <f t="array" ref="P243">IF(A243="","",IF(SUMPRODUCT(($F$2:$F$969=F243)*($I$2:$I$969=I243))=1,"خیر",IF(SUMPRODUCT(($F$2:F243=F243)*($I$2:I243=I243))=1,"بله-1","بله")))</f>
        <v>خیر</v>
      </c>
    </row>
    <row r="244" spans="1:16" ht="18.75" x14ac:dyDescent="0.25">
      <c r="A244" s="2" t="s">
        <v>380</v>
      </c>
      <c r="B244" s="2" t="s">
        <v>16</v>
      </c>
      <c r="C244" s="2" t="s">
        <v>17</v>
      </c>
      <c r="D244" s="2" t="s">
        <v>42</v>
      </c>
      <c r="E244" s="2" t="s">
        <v>43</v>
      </c>
      <c r="F244" s="2" t="s">
        <v>381</v>
      </c>
      <c r="G244" s="2" t="s">
        <v>73</v>
      </c>
      <c r="H244" s="2" t="s">
        <v>333</v>
      </c>
      <c r="I244" s="2" t="s">
        <v>364</v>
      </c>
      <c r="J244" s="2" t="s">
        <v>163</v>
      </c>
      <c r="K244" s="2" t="s">
        <v>382</v>
      </c>
      <c r="L244" s="3">
        <f>IF(OR(TRIM(I244)="",TRIM(K244)=""),"",IFERROR((VALUE(LEFT(TRIM(I244),4))-VALUE(LEFT(TRIM(K244),4)))*12+VALUE(MID(TRIM(I244),6,2))-VALUE(MID(TRIM(K244),6,2)),""))</f>
        <v>9</v>
      </c>
      <c r="M244" s="2" t="str">
        <f>IF(TRIM(H244)="","",IFERROR(LOOKUP(2,1/(ISNUMBER(SEARCH('منطق دسته‌بندی'!$A$2:$A$187,H244))),'منطق دسته‌بندی'!$B$2:$B$187),"سایر (نیازمند بررسی دستی)"))</f>
        <v>ریست نرم‌افزاری (بدون قطعه)</v>
      </c>
      <c r="N244" s="2" t="s">
        <v>24</v>
      </c>
      <c r="O244" s="2" t="str" cm="1">
        <f t="array" ref="O244">IF(A244="","",IF(SUMPRODUCT(($B$2:$B$965=B244)*($C$2:$C$965=C244)*($D$2:$D$965=D244)*($E$2:$E$965=E244)*($F$2:$F$965=F244)*($G$2:$G$965=G244)*($H$2:$H$965=H244)*($I$2:$I$965=I244)*($J$2:$J$965=J244)*($K$2:$K$965=K244)*($N$2:$N$965=N244))=1,"خیر",IF(SUMPRODUCT(($B$2:B244=B244)*($C$2:C244=C244)*($D$2:D244=D244)*($E$2:E244=E244)*($F$2:F244=F244)*($G$2:G244=G244)*($H$2:H244=H244)*($I$2:I244=I244)*($J$2:J244=J244)*($K$2:K244=K244)*($N$2:N244=N244))=1,"بله-1","بله")))</f>
        <v>خیر</v>
      </c>
      <c r="P244" s="5" t="str" cm="1">
        <f t="array" ref="P244">IF(A244="","",IF(SUMPRODUCT(($F$2:$F$969=F244)*($I$2:$I$969=I244))=1,"خیر",IF(SUMPRODUCT(($F$2:F244=F244)*($I$2:I244=I244))=1,"بله-1","بله")))</f>
        <v>خیر</v>
      </c>
    </row>
    <row r="245" spans="1:16" ht="37.5" x14ac:dyDescent="0.25">
      <c r="A245" s="2" t="s">
        <v>568</v>
      </c>
      <c r="B245" s="2" t="s">
        <v>16</v>
      </c>
      <c r="C245" s="2" t="s">
        <v>17</v>
      </c>
      <c r="D245" s="2" t="s">
        <v>42</v>
      </c>
      <c r="E245" s="2" t="s">
        <v>43</v>
      </c>
      <c r="F245" s="2" t="s">
        <v>569</v>
      </c>
      <c r="G245" s="2" t="s">
        <v>570</v>
      </c>
      <c r="H245" s="2" t="s">
        <v>54</v>
      </c>
      <c r="I245" s="2" t="s">
        <v>835</v>
      </c>
      <c r="J245" s="2" t="s">
        <v>571</v>
      </c>
      <c r="K245" s="2" t="s">
        <v>572</v>
      </c>
      <c r="L245" s="3">
        <f>IF(OR(TRIM(I245)="",TRIM(K245)=""),"",IFERROR((VALUE(LEFT(TRIM(I245),4))-VALUE(LEFT(TRIM(K245),4)))*12+VALUE(MID(TRIM(I245),6,2))-VALUE(MID(TRIM(K245),6,2)),""))</f>
        <v>0</v>
      </c>
      <c r="M245" s="2" t="str">
        <f>IF(TRIM(H245)="","",IFERROR(LOOKUP(2,1/(ISNUMBER(SEARCH('منطق دسته‌بندی'!$A$2:$A$187,H245))),'منطق دسته‌بندی'!$B$2:$B$187),"سایر (نیازمند بررسی دستی)"))</f>
        <v>قطعات تزئینی - شکستگی/کسری (تعویض)</v>
      </c>
      <c r="N245" s="2" t="s">
        <v>24</v>
      </c>
      <c r="O245" s="2" t="str" cm="1">
        <f t="array" ref="O245">IF(A245="","",IF(SUMPRODUCT(($B$2:$B$965=B245)*($C$2:$C$965=C245)*($D$2:$D$965=D245)*($E$2:$E$965=E245)*($F$2:$F$965=F245)*($G$2:$G$965=G245)*($H$2:$H$965=H245)*($I$2:$I$965=I245)*($J$2:$J$965=J245)*($K$2:$K$965=K245)*($N$2:$N$965=N245))=1,"خیر",IF(SUMPRODUCT(($B$2:B245=B245)*($C$2:C245=C245)*($D$2:D245=D245)*($E$2:E245=E245)*($F$2:F245=F245)*($G$2:G245=G245)*($H$2:H245=H245)*($I$2:I245=I245)*($J$2:J245=J245)*($K$2:K245=K245)*($N$2:N245=N245))=1,"بله-1","بله")))</f>
        <v>خیر</v>
      </c>
      <c r="P245" s="5" t="str" cm="1">
        <f t="array" ref="P245">IF(A245="","",IF(SUMPRODUCT(($F$2:$F$969=F245)*($I$2:$I$969=I245))=1,"خیر",IF(SUMPRODUCT(($F$2:F245=F245)*($I$2:I245=I245))=1,"بله-1","بله")))</f>
        <v>خیر</v>
      </c>
    </row>
    <row r="246" spans="1:16" ht="18.75" x14ac:dyDescent="0.25">
      <c r="A246" s="2" t="s">
        <v>531</v>
      </c>
      <c r="B246" s="2" t="s">
        <v>16</v>
      </c>
      <c r="C246" s="2" t="s">
        <v>17</v>
      </c>
      <c r="D246" s="2" t="s">
        <v>42</v>
      </c>
      <c r="E246" s="2" t="s">
        <v>43</v>
      </c>
      <c r="F246" s="2" t="s">
        <v>532</v>
      </c>
      <c r="G246" s="2" t="s">
        <v>73</v>
      </c>
      <c r="H246" s="2" t="s">
        <v>533</v>
      </c>
      <c r="I246" s="2" t="s">
        <v>507</v>
      </c>
      <c r="J246" s="2" t="s">
        <v>534</v>
      </c>
      <c r="K246" s="2" t="s">
        <v>243</v>
      </c>
      <c r="L246" s="3">
        <f>IF(OR(TRIM(I246)="",TRIM(K246)=""),"",IFERROR((VALUE(LEFT(TRIM(I246),4))-VALUE(LEFT(TRIM(K246),4)))*12+VALUE(MID(TRIM(I246),6,2))-VALUE(MID(TRIM(K246),6,2)),""))</f>
        <v>11</v>
      </c>
      <c r="M246" s="2" t="str">
        <f>IF(TRIM(H246)="","",IFERROR(LOOKUP(2,1/(ISNUMBER(SEARCH('منطق دسته‌بندی'!$A$2:$A$187,H246))),'منطق دسته‌بندی'!$B$2:$B$187),"سایر (نیازمند بررسی دستی)"))</f>
        <v>مکانیزم درب - لولا (تنظیم)</v>
      </c>
      <c r="N246" s="2" t="s">
        <v>24</v>
      </c>
      <c r="O246" s="2" t="str" cm="1">
        <f t="array" ref="O246">IF(A246="","",IF(SUMPRODUCT(($B$2:$B$965=B246)*($C$2:$C$965=C246)*($D$2:$D$965=D246)*($E$2:$E$965=E246)*($F$2:$F$965=F246)*($G$2:$G$965=G246)*($H$2:$H$965=H246)*($I$2:$I$965=I246)*($J$2:$J$965=J246)*($K$2:$K$965=K246)*($N$2:$N$965=N246))=1,"خیر",IF(SUMPRODUCT(($B$2:B246=B246)*($C$2:C246=C246)*($D$2:D246=D246)*($E$2:E246=E246)*($F$2:F246=F246)*($G$2:G246=G246)*($H$2:H246=H246)*($I$2:I246=I246)*($J$2:J246=J246)*($K$2:K246=K246)*($N$2:N246=N246))=1,"بله-1","بله")))</f>
        <v>خیر</v>
      </c>
      <c r="P246" s="5" t="str" cm="1">
        <f t="array" ref="P246">IF(A246="","",IF(SUMPRODUCT(($F$2:$F$969=F246)*($I$2:$I$969=I246))=1,"خیر",IF(SUMPRODUCT(($F$2:F246=F246)*($I$2:I246=I246))=1,"بله-1","بله")))</f>
        <v>خیر</v>
      </c>
    </row>
    <row r="247" spans="1:16" s="12" customFormat="1" ht="37.5" x14ac:dyDescent="0.25">
      <c r="A247" s="9" t="s">
        <v>215</v>
      </c>
      <c r="B247" s="9" t="s">
        <v>16</v>
      </c>
      <c r="C247" s="9" t="s">
        <v>17</v>
      </c>
      <c r="D247" s="9" t="s">
        <v>42</v>
      </c>
      <c r="E247" s="9" t="s">
        <v>43</v>
      </c>
      <c r="F247" s="9" t="s">
        <v>72</v>
      </c>
      <c r="G247" s="9" t="s">
        <v>73</v>
      </c>
      <c r="H247" s="9" t="s">
        <v>68</v>
      </c>
      <c r="I247" s="9" t="s">
        <v>47</v>
      </c>
      <c r="J247" s="9" t="s">
        <v>74</v>
      </c>
      <c r="K247" s="9" t="s">
        <v>216</v>
      </c>
      <c r="L247" s="10">
        <f>IF(OR(TRIM(I247)="",TRIM(K247)=""),"",IFERROR((VALUE(LEFT(TRIM(I247),4))-VALUE(LEFT(TRIM(K247),4)))*12+VALUE(MID(TRIM(I247),6,2))-VALUE(MID(TRIM(K247),6,2)),""))</f>
        <v>12</v>
      </c>
      <c r="M247" s="9" t="str">
        <f>IF(TRIM(H247)="","",IFERROR(LOOKUP(2,1/(ISNUMBER(SEARCH('منطق دسته‌بندی'!$A$2:$A$187,H247))),'منطق دسته‌بندی'!$B$2:$B$187),"سایر (نیازمند بررسی دستی)"))</f>
        <v>مکانیزم درب - میکروسوئیچ/قلاب (تعویض/تنظیم)</v>
      </c>
      <c r="N247" s="9" t="s">
        <v>75</v>
      </c>
      <c r="O247" s="9" t="str" cm="1">
        <f t="array" ref="O247">IF(A247="","",IF(SUMPRODUCT(($B$2:$B$965=B247)*($C$2:$C$965=C247)*($D$2:$D$965=D247)*($E$2:$E$965=E247)*($F$2:$F$965=F247)*($G$2:$G$965=G247)*($H$2:$H$965=H247)*($I$2:$I$965=I247)*($J$2:$J$965=J247)*($K$2:$K$965=K247)*($N$2:$N$965=N247))=1,"خیر",IF(SUMPRODUCT(($B$2:B247=B247)*($C$2:C247=C247)*($D$2:D247=D247)*($E$2:E247=E247)*($F$2:F247=F247)*($G$2:G247=G247)*($H$2:H247=H247)*($I$2:I247=I247)*($J$2:J247=J247)*($K$2:K247=K247)*($N$2:N247=N247))=1,"بله-1","بله")))</f>
        <v>خیر</v>
      </c>
      <c r="P247" s="11" t="str" cm="1">
        <f t="array" ref="P247">IF(A247="","",IF(SUMPRODUCT(($F$2:$F$969=F247)*($I$2:$I$969=I247))=1,"خیر",IF(SUMPRODUCT(($F$2:F247=F247)*($I$2:I247=I247))=1,"بله-1","بله")))</f>
        <v>خیر</v>
      </c>
    </row>
    <row r="248" spans="1:16" ht="18.75" x14ac:dyDescent="0.25">
      <c r="A248" s="2" t="s">
        <v>906</v>
      </c>
      <c r="B248" s="2" t="s">
        <v>881</v>
      </c>
      <c r="C248" s="2" t="s">
        <v>882</v>
      </c>
      <c r="D248" s="2" t="s">
        <v>42</v>
      </c>
      <c r="E248" s="2" t="s">
        <v>43</v>
      </c>
      <c r="F248" s="2" t="s">
        <v>907</v>
      </c>
      <c r="G248" s="2" t="s">
        <v>257</v>
      </c>
      <c r="H248" s="2" t="s">
        <v>908</v>
      </c>
      <c r="I248" s="2" t="s">
        <v>909</v>
      </c>
      <c r="J248" s="2" t="s">
        <v>910</v>
      </c>
      <c r="K248" s="2" t="s">
        <v>911</v>
      </c>
      <c r="L248" s="3">
        <f>IF(OR(TRIM(I248)="",TRIM(K248)=""),"",IFERROR((VALUE(LEFT(TRIM(I248),4))-VALUE(LEFT(TRIM(K248),4)))*12+VALUE(MID(TRIM(I248),6,2))-VALUE(MID(TRIM(K248),6,2)),""))</f>
        <v>14</v>
      </c>
      <c r="M248" s="2" t="str">
        <f>IF(TRIM(H248)="","",IFERROR(LOOKUP(2,1/(ISNUMBER(SEARCH('منطق دسته‌بندی'!$A$2:$A$187,H248))),'منطق دسته‌بندی'!$B$2:$B$187),"سایر (نیازمند بررسی دستی)"))</f>
        <v>خرابی - برد الکترونیک (تعویض)</v>
      </c>
      <c r="N248" s="2" t="s">
        <v>912</v>
      </c>
      <c r="O248" s="2" t="str" cm="1">
        <f t="array" ref="O248">IF(A248="","",IF(SUMPRODUCT(($B$2:$B$965=B248)*($C$2:$C$965=C248)*($D$2:$D$965=D248)*($E$2:$E$965=E248)*($F$2:$F$965=F248)*($G$2:$G$965=G248)*($H$2:$H$965=H248)*($I$2:$I$965=I248)*($J$2:$J$965=J248)*($K$2:$K$965=K248)*($N$2:$N$965=N248))=1,"خیر",IF(SUMPRODUCT(($B$2:B248=B248)*($C$2:C248=C248)*($D$2:D248=D248)*($E$2:E248=E248)*($F$2:F248=F248)*($G$2:G248=G248)*($H$2:H248=H248)*($I$2:I248=I248)*($J$2:J248=J248)*($K$2:K248=K248)*($N$2:N248=N248))=1,"بله-1","بله")))</f>
        <v>خیر</v>
      </c>
      <c r="P248" s="5" t="str" cm="1">
        <f t="array" ref="P248">IF(A248="","",IF(SUMPRODUCT(($F$2:$F$969=F248)*($I$2:$I$969=I248))=1,"خیر",IF(SUMPRODUCT(($F$2:F248=F248)*($I$2:I248=I248))=1,"بله-1","بله")))</f>
        <v>خیر</v>
      </c>
    </row>
    <row r="249" spans="1:16" ht="18.75" x14ac:dyDescent="0.25">
      <c r="A249" s="2" t="s">
        <v>1322</v>
      </c>
      <c r="B249" s="2" t="s">
        <v>1040</v>
      </c>
      <c r="C249" s="2" t="s">
        <v>1041</v>
      </c>
      <c r="D249" s="2" t="s">
        <v>42</v>
      </c>
      <c r="E249" s="2" t="s">
        <v>361</v>
      </c>
      <c r="F249" s="2" t="s">
        <v>1323</v>
      </c>
      <c r="G249" s="2" t="s">
        <v>148</v>
      </c>
      <c r="H249" s="2" t="s">
        <v>190</v>
      </c>
      <c r="I249" s="2" t="s">
        <v>1305</v>
      </c>
      <c r="J249" s="2" t="s">
        <v>1324</v>
      </c>
      <c r="K249" s="2" t="s">
        <v>937</v>
      </c>
      <c r="L249" s="3">
        <f>IF(OR(TRIM(I249)="",TRIM(K249)=""),"",IFERROR((VALUE(LEFT(TRIM(I249),4))-VALUE(LEFT(TRIM(K249),4)))*12+VALUE(MID(TRIM(I249),6,2))-VALUE(MID(TRIM(K249),6,2)),""))</f>
        <v>2</v>
      </c>
      <c r="M249" s="2" t="str">
        <f>IF(TRIM(H249)="","",IFERROR(LOOKUP(2,1/(ISNUMBER(SEARCH('منطق دسته‌بندی'!$A$2:$A$187,H249))),'منطق دسته‌بندی'!$B$2:$B$187),"سایر (نیازمند بررسی دستی)"))</f>
        <v>نشتی - مقسم آب (تعمیر/آب‌بندی)</v>
      </c>
      <c r="N249" s="2" t="s">
        <v>1046</v>
      </c>
      <c r="O249" s="2" t="str" cm="1">
        <f t="array" ref="O249">IF(A249="","",IF(SUMPRODUCT(($B$2:$B$965=B249)*($C$2:$C$965=C249)*($D$2:$D$965=D249)*($E$2:$E$965=E249)*($F$2:$F$965=F249)*($G$2:$G$965=G249)*($H$2:$H$965=H249)*($I$2:$I$965=I249)*($J$2:$J$965=J249)*($K$2:$K$965=K249)*($N$2:$N$965=N249))=1,"خیر",IF(SUMPRODUCT(($B$2:B249=B249)*($C$2:C249=C249)*($D$2:D249=D249)*($E$2:E249=E249)*($F$2:F249=F249)*($G$2:G249=G249)*($H$2:H249=H249)*($I$2:I249=I249)*($J$2:J249=J249)*($K$2:K249=K249)*($N$2:N249=N249))=1,"بله-1","بله")))</f>
        <v>خیر</v>
      </c>
      <c r="P249" s="5" t="str" cm="1">
        <f t="array" ref="P249">IF(A249="","",IF(SUMPRODUCT(($F$2:$F$969=F249)*($I$2:$I$969=I249))=1,"خیر",IF(SUMPRODUCT(($F$2:F249=F249)*($I$2:I249=I249))=1,"بله-1","بله")))</f>
        <v>خیر</v>
      </c>
    </row>
    <row r="250" spans="1:16" ht="18.75" x14ac:dyDescent="0.25">
      <c r="A250" s="2">
        <v>510026209</v>
      </c>
      <c r="B250" s="2" t="s">
        <v>1950</v>
      </c>
      <c r="C250" s="2" t="s">
        <v>1951</v>
      </c>
      <c r="D250" s="2" t="s">
        <v>42</v>
      </c>
      <c r="E250" s="2" t="s">
        <v>361</v>
      </c>
      <c r="F250" s="2" t="s">
        <v>1516</v>
      </c>
      <c r="G250" s="2" t="s">
        <v>1438</v>
      </c>
      <c r="H250" s="18" t="s">
        <v>1891</v>
      </c>
      <c r="I250" s="2" t="s">
        <v>1410</v>
      </c>
      <c r="J250" s="2" t="s">
        <v>136</v>
      </c>
      <c r="K250" s="2" t="s">
        <v>1517</v>
      </c>
      <c r="L250" s="3">
        <f>IF(OR(TRIM(I250)="",TRIM(K250)=""),"",IFERROR((VALUE(LEFT(TRIM(I250),4))-VALUE(LEFT(TRIM(K250),4)))*12+VALUE(MID(TRIM(I250),6,2))-VALUE(MID(TRIM(K250),6,2)),""))</f>
        <v>11</v>
      </c>
      <c r="M250" s="2" t="str">
        <f>IF(TRIM(H250)="","",IFERROR(LOOKUP(2,1/(ISNUMBER(SEARCH('منطق دسته‌بندی'!$A$2:$A$187,H250))),'منطق دسته‌بندی'!$B$2:$B$187),"سایر (نیازمند بررسی دستی)"))</f>
        <v>تنظیم - تنظیمات دستگاه/دیسپلی (تعمیر)</v>
      </c>
      <c r="N250" s="2" t="s">
        <v>1381</v>
      </c>
      <c r="O250" s="2" t="str" cm="1">
        <f t="array" ref="O250">IF(A250="","",IF(SUMPRODUCT(($B$2:$B$965=B250)*($C$2:$C$965=C250)*($D$2:$D$965=D250)*($E$2:$E$965=E250)*($F$2:$F$965=F250)*($G$2:$G$965=G250)*($H$2:$H$965=H250)*($I$2:$I$965=I250)*($J$2:$J$965=J250)*($K$2:$K$965=K250)*($N$2:$N$965=N250))=1,"خیر",IF(SUMPRODUCT(($B$2:B250=B250)*($C$2:C250=C250)*($D$2:D250=D250)*($E$2:E250=E250)*($F$2:F250=F250)*($G$2:G250=G250)*($H$2:H250=H250)*($I$2:I250=I250)*($J$2:J250=J250)*($K$2:K250=K250)*($N$2:N250=N250))=1,"بله-1","بله")))</f>
        <v>خیر</v>
      </c>
      <c r="P250" s="5" t="str" cm="1">
        <f t="array" ref="P250">IF(A250="","",IF(SUMPRODUCT(($F$2:$F$969=F250)*($I$2:$I$969=I250))=1,"خیر",IF(SUMPRODUCT(($F$2:F250=F250)*($I$2:I250=I250))=1,"بله-1","بله")))</f>
        <v>خیر</v>
      </c>
    </row>
    <row r="251" spans="1:16" ht="18.75" x14ac:dyDescent="0.25">
      <c r="A251" s="2" t="s">
        <v>651</v>
      </c>
      <c r="B251" s="2" t="s">
        <v>632</v>
      </c>
      <c r="C251" s="2" t="s">
        <v>633</v>
      </c>
      <c r="D251" s="2" t="s">
        <v>42</v>
      </c>
      <c r="E251" s="2" t="s">
        <v>43</v>
      </c>
      <c r="F251" s="2" t="s">
        <v>652</v>
      </c>
      <c r="G251" s="2" t="s">
        <v>653</v>
      </c>
      <c r="H251" s="2" t="s">
        <v>654</v>
      </c>
      <c r="I251" s="2" t="s">
        <v>644</v>
      </c>
      <c r="J251" s="2" t="s">
        <v>655</v>
      </c>
      <c r="K251" s="2" t="s">
        <v>656</v>
      </c>
      <c r="L251" s="3">
        <f>IF(OR(TRIM(I251)="",TRIM(K251)=""),"",IFERROR((VALUE(LEFT(TRIM(I251),4))-VALUE(LEFT(TRIM(K251),4)))*12+VALUE(MID(TRIM(I251),6,2))-VALUE(MID(TRIM(K251),6,2)),""))</f>
        <v>14</v>
      </c>
      <c r="M251" s="2" t="str">
        <f>IF(TRIM(H251)="","",IFERROR(LOOKUP(2,1/(ISNUMBER(SEARCH('منطق دسته‌بندی'!$A$2:$A$187,H251))),'منطق دسته‌بندی'!$B$2:$B$187),"سایر (نیازمند بررسی دستی)"))</f>
        <v>پرچ/بدنه کابین (تعمیر)</v>
      </c>
      <c r="N251" s="2" t="s">
        <v>24</v>
      </c>
      <c r="O251" s="2" t="str" cm="1">
        <f t="array" ref="O251">IF(A251="","",IF(SUMPRODUCT(($B$2:$B$965=B251)*($C$2:$C$965=C251)*($D$2:$D$965=D251)*($E$2:$E$965=E251)*($F$2:$F$965=F251)*($G$2:$G$965=G251)*($H$2:$H$965=H251)*($I$2:$I$965=I251)*($J$2:$J$965=J251)*($K$2:$K$965=K251)*($N$2:$N$965=N251))=1,"خیر",IF(SUMPRODUCT(($B$2:B251=B251)*($C$2:C251=C251)*($D$2:D251=D251)*($E$2:E251=E251)*($F$2:F251=F251)*($G$2:G251=G251)*($H$2:H251=H251)*($I$2:I251=I251)*($J$2:J251=J251)*($K$2:K251=K251)*($N$2:N251=N251))=1,"بله-1","بله")))</f>
        <v>خیر</v>
      </c>
      <c r="P251" s="5" t="str" cm="1">
        <f t="array" ref="P251">IF(A251="","",IF(SUMPRODUCT(($F$2:$F$969=F251)*($I$2:$I$969=I251))=1,"خیر",IF(SUMPRODUCT(($F$2:F251=F251)*($I$2:I251=I251))=1,"بله-1","بله")))</f>
        <v>خیر</v>
      </c>
    </row>
    <row r="252" spans="1:16" ht="18.75" x14ac:dyDescent="0.25">
      <c r="A252" s="2">
        <v>210025761</v>
      </c>
      <c r="B252" s="2" t="s">
        <v>1950</v>
      </c>
      <c r="C252" s="2" t="s">
        <v>1951</v>
      </c>
      <c r="D252" s="2" t="s">
        <v>2019</v>
      </c>
      <c r="E252" s="2" t="s">
        <v>43</v>
      </c>
      <c r="F252" s="2" t="s">
        <v>1962</v>
      </c>
      <c r="G252" s="2" t="s">
        <v>1979</v>
      </c>
      <c r="H252" s="2" t="s">
        <v>1991</v>
      </c>
      <c r="I252" s="2" t="s">
        <v>1997</v>
      </c>
      <c r="J252" s="2" t="s">
        <v>2006</v>
      </c>
      <c r="K252" s="2" t="s">
        <v>278</v>
      </c>
      <c r="L252" s="3">
        <f>IF(OR(TRIM(I252)="",TRIM(K252)=""),"",IFERROR((VALUE(LEFT(TRIM(I252),4))-VALUE(LEFT(TRIM(K252),4)))*12+VALUE(MID(TRIM(I252),6,2))-VALUE(MID(TRIM(K252),6,2)),""))</f>
        <v>12</v>
      </c>
      <c r="M252" s="2" t="str">
        <f>IF(OR(ISNUMBER(SEARCH("بدون مورد",H252)),ISNUMBER(SEARCH("غير گارانتي",H252)),ISNUMBER(SEARCH("غیر گارانتی",H252)),ISNUMBER(SEARCH("بدون اجرت",H252)),ISNUMBER(SEARCH("فيلتر",H252)),ISNUMBER(SEARCH("فیلتر",H252))),"غیرگارانتی/بدون قطعه",IF(OR(ISNUMBER(SEARCH("ريست",H252)),ISNUMBER(SEARCH("ریست",H252))),"ریست نرم‌افزاری (بدون قطعه)",IF(OR(ISNUMBER(SEARCH("تعویض محصول",H252)),ISNUMBER(SEARCH("تعویض دستگاه",H252))),"تعویض کامل دستگاه (Replacement)",IF(ISNUMBER(SEARCH("پمپ",H252)),IF(ISNUMBER(SEARCH("نشت",H252)),"نشتی - پمپ تخلیه (تعمیر/آب‌بندی)","خرابی - پمپ تخلیه (تعویض)"),IF(ISNUMBER(SEARCH("کمپرسور",H252)),"خرابی - کمپرسور (تعویض)",IF(ISNUMBER(SEARCH("کمک فنر",H252)),"خرابی - کمک فنر (تعویض)",IF(ISNUMBER(SEARCH("لولا",H252)),"مکانیزم درب - لولا (تعویض)",IF(OR(ISNUMBER(SEARCH("قلاب",H252)),ISNUMBER(SEARCH("ميکروسوئيچ",H252)),ISNUMBER(SEARCH("میکروسوئیچ",H252))),"مکانیزم درب - میکروسوئیچ/قلاب (تعویض/تنظیم)",IF(ISNUMBER(SEARCH("زبانه",H252)),"مکانیزم درب - زبانه (تعویض)",IF(OR(ISNUMBER(SEARCH("شيلنگ",H252)),ISNUMBER(SEARCH("شیلنگ",H252))),IF(OR(ISNUMBER(SEARCH("نشتی",H252)),ISNUMBER(SEARCH("نشتي",H252))),"نشتی - شیلنگ (تعمیر/آب‌بندی)",IF(OR(ISNUMBER(SEARCH("يخ",H252)),ISNUMBER(SEARCH("یخ",H252))),"شیلنگ یخساز - یخ‌زدگی (بازبینی)","شیلنگ - برخورد/لهیدگی (بازبینی)")),IF(OR(ISNUMBER(SEARCH("تنظيم ديسپل",H252)),ISNUMBER(SEARCH("تنظیم دیسپل",H252)),ISNUMBER(SEARCH("تنظيم صفحه نمايش",H252)),ISNUMBER(SEARCH("تنظیم صفحه نمایش",H252))),"تنظیم - تنظیمات دستگاه/دیسپلی (تعمیر)",IF(OR(ISNUMBER(SEARCH("برد",H252)),ISNUMBER(SEARCH("سوکت",H252)),ISNUMBER(SEARCH("ديسپل",H252)),ISNUMBER(SEARCH("دیسپل",H252))),"خرابی - برد الکترونیک (تعویض)",IF(OR(ISNUMBER(SEARCH("يخساز",H252)),ISNUMBER(SEARCH("یخساز",H252)),ISNUMBER(SEARCH("دمپر",H252))),IF(OR(ISNUMBER(SEARCH("خرابی",H252)),ISNUMBER(SEARCH("خراب",H252)),ISNUMBER(SEARCH("عدم کارکرد",H252)),ISNUMBER(SEARCH("عدم عملکرد",H252))),"یخساز - خرابی موتور/سنسور/برد (تعویض)","یخساز - تنظیم/عایق (تعمیر)"),IF(OR(ISNUMBER(SEARCH("لاستيک",H252)),ISNUMBER(SEARCH("لاستیک",H252))),"لاستیک درزگیر - دفرمگی/پارگی (تعویض)",IF(OR(ISNUMBER(SEARCH("گسکت",H252)),ISNUMBER(SEARCH("گسگت",H252))),"لاستیک درزگیر - دفرمگی/پارگی (تعویض)",IF(ISNUMBER(SEARCH("مخزن نمک",H252)),"نشتی - درب مخزن نمک (تعمیر/آب‌بندی)",IF(ISNUMBER(SEARCH("براکت",H252)),"نشتی - براکت ریل (تعمیر/آب‌بندی)",IF(ISNUMBER(SEARCH("جاپودر",H252)),"نشتی - جاپودری (تعمیر/آب‌بندی)",IF(ISNUMBER(SEARCH("مقسم",H252)),"نشتی - مقسم آب (تعمیر/آب‌بندی)",IF(OR(ISNUMBER(SEARCH("سنسور دما",H252)),ISNUMBER(SEARCH("ترموستات",H252))),"خرابی - ترموستات (تعویض)",IF(OR(ISNUMBER(SEARCH("هيدروستات",H252)),ISNUMBER(SEARCH("هیدروستات",H252))),"خرابی - هیدروستات (تعویض)",IF(OR(ISNUMBER(SEARCH("بلبرينگ",H252)),ISNUMBER(SEARCH("بلبرینگ",H252))),"خرابی - بلبرینگ (تعویض)",IF(OR(ISNUMBER(SEARCH("شيربرق",H252)),ISNUMBER(SEARCH("شیربرق",H252))),"خرابی - شیربرقی (تعویض)",IF(OR(ISNUMBER(SEARCH("واتر جت",H252)),ISNUMBER(SEARCH("واترجت",H252))),"خرابی - واترجت (تعویض)",IF(OR(ISNUMBER(SEARCH("سيم",H252)),ISNUMBER(SEARCH("سیم",H252)),ISNUMBER(SEARCH("اتصال",H252))),"سیم‌کشی/اتصالات (تعویض/بازبینی)",IF(OR(ISNUMBER(SEARCH("تصوير",H252)),ISNUMBER(SEARCH("تصویر",H252))),"برد نمایش تلویزیون (تعویض)",IF(OR(ISNUMBER(SEARCH("ريموت",H252)),ISNUMBER(SEARCH("ریموت",H252))),"ریموت کنترل (تعویض/تعمیر)",IF(OR(ISNUMBER(SEARCH("ال اي دي",H252)),ISNUMBER(SEARCH("ال ای دی",H252)),ISNUMBER(SEARCH("LED",H252))),"خرابی - لامپ/LED داخلی (تعویض)",IF(ISNUMBER(SEARCH("زنگ زدگ",H252)),"زنگ‌زدگی بدنه/قطعه (تعویض)",IF(OR(ISNUMBER(SEARCH("قطعات تزئين",H252)),ISNUMBER(SEARCH("قطعات تزئین",H252))),"قطعات تزئینی - شکستگی/کسری (تعویض)",IF(ISNUMBER(SEARCH("سبد",H252)),"سبد ظرفشویی - شکستگی (تعویض)",IF(ISNUMBER(SEARCH("تاب درام",H252)),"خرابی - تاب برداشتن درام (تعویض)",IF(ISNUMBER(SEARCH("درام",H252)),"خرابی - سایر ایراد درام (تعویض)",IF(ISNUMBER(SEARCH("موتور",H252)),"خرابی - موتور (تعویض)",IF(ISNUMBER(SEARCH("تسمه",H252)),"خرابی - تسمه (تعویض)",IF(OR(ISNUMBER(SEARCH("پيچ ولوم",H252)),ISNUMBER(SEARCH("پیچ ولوم",H252))),"تنظیم - پیچ ولوم/دکمه (تعمیر)",IF(OR(ISNUMBER(SEARCH("کسري قطعات",H252)),ISNUMBER(SEARCH("کسری قطعات",H252))),"کسری قطعات تزئینی (تعویض)",IF(ISNUMBER(SEARCH("پرچ",H252)),"پرچ/بدنه کابین(تعمیر)",IF(OR(ISNUMBER(SEARCH("نشت",H252)),ISNUMBER(SEARCH("آبريزش",H252)),ISNUMBER(SEARCH("آبریزش",H252))),"نشتی آب - محل نامشخص (نیازمند بازدید)",IF(ISNUMBER(SEARCH("درب",H252)),"سایر اجزای درب (بازبینی)",IF(ISNUMBER(SEARCH("ضربه",H252)),"بدنه/کابین - ضربه (بازبینی/تعویض پنل)",IF(ISNUMBER(SEARCH("تراز",H252)),"تراز/لرزش - نصب (رگلاژ پایه)",IF(OR(ISNUMBER(SEARCH("تعویض",H252)),ISNUMBER(SEARCH("تعويض",H252))),"تعویض کامل دستگاه (Replacement)","سایر (نیازمند بررسی دستی)")))))))))))))))))))))))))))))))))))))))))))</f>
        <v>زنگ‌زدگی بدنه/قطعه (تعویض)</v>
      </c>
      <c r="N252" s="2" t="s">
        <v>2015</v>
      </c>
      <c r="O252" s="2" t="str" cm="1">
        <f t="array" ref="O252">IF(A252="","",IF(SUMPRODUCT(($B$2:$B$965=B252)*($C$2:$C$965=C252)*($D$2:$D$965=D252)*($E$2:$E$965=E252)*($F$2:$F$965=F252)*($G$2:$G$965=G252)*($H$2:$H$965=H252)*($I$2:$I$965=I252)*($J$2:$J$965=J252)*($K$2:$K$965=K252)*($N$2:$N$965=N252))=1,"خیر",IF(SUMPRODUCT(($B$2:B252=B252)*($C$2:C252=C252)*($D$2:D252=D252)*($E$2:E252=E252)*($F$2:F252=F252)*($G$2:G252=G252)*($H$2:H252=H252)*($I$2:I252=I252)*($J$2:J252=J252)*($K$2:K252=K252)*($N$2:N252=N252))=1,"بله-1","بله")))</f>
        <v>خیر</v>
      </c>
      <c r="P252" s="5" t="str" cm="1">
        <f t="array" ref="P252">IF(A252="","",IF(SUMPRODUCT(($F$2:$F$969=F252)*($I$2:$I$969=I252))=1,"خیر",IF(SUMPRODUCT(($F$2:F252=F252)*($I$2:I252=I252))=1,"بله-1","بله")))</f>
        <v>خیر</v>
      </c>
    </row>
    <row r="253" spans="1:16" ht="37.5" x14ac:dyDescent="0.25">
      <c r="A253" s="2" t="s">
        <v>1336</v>
      </c>
      <c r="B253" s="2" t="s">
        <v>1040</v>
      </c>
      <c r="C253" s="2" t="s">
        <v>1041</v>
      </c>
      <c r="D253" s="2" t="s">
        <v>42</v>
      </c>
      <c r="E253" s="2" t="s">
        <v>361</v>
      </c>
      <c r="F253" s="2" t="s">
        <v>1337</v>
      </c>
      <c r="G253" s="2" t="s">
        <v>114</v>
      </c>
      <c r="H253" s="2" t="s">
        <v>2020</v>
      </c>
      <c r="I253" s="2" t="s">
        <v>1338</v>
      </c>
      <c r="J253" s="2" t="s">
        <v>1339</v>
      </c>
      <c r="K253" s="2" t="s">
        <v>1340</v>
      </c>
      <c r="L253" s="3">
        <f>IF(OR(TRIM(I253)="",TRIM(K253)=""),"",IFERROR((VALUE(LEFT(TRIM(I253),4))-VALUE(LEFT(TRIM(K253),4)))*12+VALUE(MID(TRIM(I253),6,2))-VALUE(MID(TRIM(K253),6,2)),""))</f>
        <v>17</v>
      </c>
      <c r="M253" s="2" t="str">
        <f>IF(TRIM(H253)="","",IFERROR(LOOKUP(2,1/(ISNUMBER(SEARCH('منطق دسته‌بندی'!$A$2:$A$187,H253))),'منطق دسته‌بندی'!$B$2:$B$187),"سایر (نیازمند بررسی دستی)"))</f>
        <v>مکانیزم درب - میکروسوئیچ/قلاب (تعویض/تنظیم)</v>
      </c>
      <c r="N253" s="2" t="s">
        <v>24</v>
      </c>
      <c r="O253" s="2" t="str" cm="1">
        <f t="array" ref="O253">IF(A253="","",IF(SUMPRODUCT(($B$2:$B$965=B253)*($C$2:$C$965=C253)*($D$2:$D$965=D253)*($E$2:$E$965=E253)*($F$2:$F$965=F253)*($G$2:$G$965=G253)*($H$2:$H$965=H253)*($I$2:$I$965=I253)*($J$2:$J$965=J253)*($K$2:$K$965=K253)*($N$2:$N$965=N253))=1,"خیر",IF(SUMPRODUCT(($B$2:B253=B253)*($C$2:C253=C253)*($D$2:D253=D253)*($E$2:E253=E253)*($F$2:F253=F253)*($G$2:G253=G253)*($H$2:H253=H253)*($I$2:I253=I253)*($J$2:J253=J253)*($K$2:K253=K253)*($N$2:N253=N253))=1,"بله-1","بله")))</f>
        <v>خیر</v>
      </c>
      <c r="P253" s="5" t="str" cm="1">
        <f t="array" ref="P253">IF(A253="","",IF(SUMPRODUCT(($F$2:$F$969=F253)*($I$2:$I$969=I253))=1,"خیر",IF(SUMPRODUCT(($F$2:F253=F253)*($I$2:I253=I253))=1,"بله-1","بله")))</f>
        <v>خیر</v>
      </c>
    </row>
    <row r="254" spans="1:16" ht="18.75" x14ac:dyDescent="0.25">
      <c r="A254" s="2" t="s">
        <v>1266</v>
      </c>
      <c r="B254" s="2" t="s">
        <v>1040</v>
      </c>
      <c r="C254" s="2" t="s">
        <v>1041</v>
      </c>
      <c r="D254" s="2" t="s">
        <v>42</v>
      </c>
      <c r="E254" s="2" t="s">
        <v>361</v>
      </c>
      <c r="F254" s="2" t="s">
        <v>1267</v>
      </c>
      <c r="G254" s="2" t="s">
        <v>78</v>
      </c>
      <c r="H254" s="2" t="s">
        <v>503</v>
      </c>
      <c r="I254" s="2" t="s">
        <v>1260</v>
      </c>
      <c r="J254" s="2" t="s">
        <v>1268</v>
      </c>
      <c r="K254" s="2" t="s">
        <v>349</v>
      </c>
      <c r="L254" s="3">
        <f>IF(OR(TRIM(I254)="",TRIM(K254)=""),"",IFERROR((VALUE(LEFT(TRIM(I254),4))-VALUE(LEFT(TRIM(K254),4)))*12+VALUE(MID(TRIM(I254),6,2))-VALUE(MID(TRIM(K254),6,2)),""))</f>
        <v>9</v>
      </c>
      <c r="M254" s="2" t="str">
        <f>IF(TRIM(H254)="","",IFERROR(LOOKUP(2,1/(ISNUMBER(SEARCH('منطق دسته‌بندی'!$A$2:$A$187,H254))),'منطق دسته‌بندی'!$B$2:$B$187),"سایر (نیازمند بررسی دستی)"))</f>
        <v>نشتی - شیلنگ (تعمیر/آب‌بندی)</v>
      </c>
      <c r="N254" s="2" t="s">
        <v>24</v>
      </c>
      <c r="O254" s="2" t="str" cm="1">
        <f t="array" ref="O254">IF(A254="","",IF(SUMPRODUCT(($B$2:$B$965=B254)*($C$2:$C$965=C254)*($D$2:$D$965=D254)*($E$2:$E$965=E254)*($F$2:$F$965=F254)*($G$2:$G$965=G254)*($H$2:$H$965=H254)*($I$2:$I$965=I254)*($J$2:$J$965=J254)*($K$2:$K$965=K254)*($N$2:$N$965=N254))=1,"خیر",IF(SUMPRODUCT(($B$2:B254=B254)*($C$2:C254=C254)*($D$2:D254=D254)*($E$2:E254=E254)*($F$2:F254=F254)*($G$2:G254=G254)*($H$2:H254=H254)*($I$2:I254=I254)*($J$2:J254=J254)*($K$2:K254=K254)*($N$2:N254=N254))=1,"بله-1","بله")))</f>
        <v>خیر</v>
      </c>
      <c r="P254" s="5" t="str" cm="1">
        <f t="array" ref="P254">IF(A254="","",IF(SUMPRODUCT(($F$2:$F$969=F254)*($I$2:$I$969=I254))=1,"خیر",IF(SUMPRODUCT(($F$2:F254=F254)*($I$2:I254=I254))=1,"بله-1","بله")))</f>
        <v>خیر</v>
      </c>
    </row>
    <row r="255" spans="1:16" ht="18.75" x14ac:dyDescent="0.25">
      <c r="A255" s="2" t="s">
        <v>945</v>
      </c>
      <c r="B255" s="2" t="s">
        <v>881</v>
      </c>
      <c r="C255" s="2" t="s">
        <v>882</v>
      </c>
      <c r="D255" s="2" t="s">
        <v>42</v>
      </c>
      <c r="E255" s="2" t="s">
        <v>43</v>
      </c>
      <c r="F255" s="2" t="s">
        <v>946</v>
      </c>
      <c r="G255" s="2" t="s">
        <v>579</v>
      </c>
      <c r="H255" s="2" t="s">
        <v>149</v>
      </c>
      <c r="I255" s="2" t="s">
        <v>943</v>
      </c>
      <c r="J255" s="2" t="s">
        <v>947</v>
      </c>
      <c r="K255" s="2" t="s">
        <v>948</v>
      </c>
      <c r="L255" s="3">
        <f>IF(OR(TRIM(I255)="",TRIM(K255)=""),"",IFERROR((VALUE(LEFT(TRIM(I255),4))-VALUE(LEFT(TRIM(K255),4)))*12+VALUE(MID(TRIM(I255),6,2))-VALUE(MID(TRIM(K255),6,2)),""))</f>
        <v>19</v>
      </c>
      <c r="M255" s="2" t="str">
        <f>IF(TRIM(H255)="","",IFERROR(LOOKUP(2,1/(ISNUMBER(SEARCH('منطق دسته‌بندی'!$A$2:$A$187,H255))),'منطق دسته‌بندی'!$B$2:$B$187),"سایر (نیازمند بررسی دستی)"))</f>
        <v>خرابی - شیربرقی (تعویض)</v>
      </c>
      <c r="N255" s="2" t="s">
        <v>151</v>
      </c>
      <c r="O255" s="2" t="str" cm="1">
        <f t="array" ref="O255">IF(A255="","",IF(SUMPRODUCT(($B$2:$B$965=B255)*($C$2:$C$965=C255)*($D$2:$D$965=D255)*($E$2:$E$965=E255)*($F$2:$F$965=F255)*($G$2:$G$965=G255)*($H$2:$H$965=H255)*($I$2:$I$965=I255)*($J$2:$J$965=J255)*($K$2:$K$965=K255)*($N$2:$N$965=N255))=1,"خیر",IF(SUMPRODUCT(($B$2:B255=B255)*($C$2:C255=C255)*($D$2:D255=D255)*($E$2:E255=E255)*($F$2:F255=F255)*($G$2:G255=G255)*($H$2:H255=H255)*($I$2:I255=I255)*($J$2:J255=J255)*($K$2:K255=K255)*($N$2:N255=N255))=1,"بله-1","بله")))</f>
        <v>خیر</v>
      </c>
      <c r="P255" s="5" t="str" cm="1">
        <f t="array" ref="P255">IF(A255="","",IF(SUMPRODUCT(($F$2:$F$969=F255)*($I$2:$I$969=I255))=1,"خیر",IF(SUMPRODUCT(($F$2:F255=F255)*($I$2:I255=I255))=1,"بله-1","بله")))</f>
        <v>خیر</v>
      </c>
    </row>
    <row r="256" spans="1:16" ht="18.75" x14ac:dyDescent="0.25">
      <c r="A256" s="2" t="s">
        <v>1054</v>
      </c>
      <c r="B256" s="2" t="s">
        <v>1040</v>
      </c>
      <c r="C256" s="2" t="s">
        <v>1041</v>
      </c>
      <c r="D256" s="2" t="s">
        <v>42</v>
      </c>
      <c r="E256" s="2" t="s">
        <v>361</v>
      </c>
      <c r="F256" s="2" t="s">
        <v>1055</v>
      </c>
      <c r="G256" s="2" t="s">
        <v>608</v>
      </c>
      <c r="H256" s="18" t="s">
        <v>1891</v>
      </c>
      <c r="I256" s="2" t="s">
        <v>1044</v>
      </c>
      <c r="J256" s="2" t="s">
        <v>728</v>
      </c>
      <c r="K256" s="2" t="s">
        <v>957</v>
      </c>
      <c r="L256" s="3">
        <f>IF(OR(TRIM(I256)="",TRIM(K256)=""),"",IFERROR((VALUE(LEFT(TRIM(I256),4))-VALUE(LEFT(TRIM(K256),4)))*12+VALUE(MID(TRIM(I256),6,2))-VALUE(MID(TRIM(K256),6,2)),""))</f>
        <v>12</v>
      </c>
      <c r="M256" s="2" t="str">
        <f>IF(TRIM(H256)="","",IFERROR(LOOKUP(2,1/(ISNUMBER(SEARCH('منطق دسته‌بندی'!$A$2:$A$187,H256))),'منطق دسته‌بندی'!$B$2:$B$187),"سایر (نیازمند بررسی دستی)"))</f>
        <v>تنظیم - تنظیمات دستگاه/دیسپلی (تعمیر)</v>
      </c>
      <c r="N256" s="2" t="s">
        <v>24</v>
      </c>
      <c r="O256" s="2" t="str" cm="1">
        <f t="array" ref="O256">IF(A256="","",IF(SUMPRODUCT(($B$2:$B$965=B256)*($C$2:$C$965=C256)*($D$2:$D$965=D256)*($E$2:$E$965=E256)*($F$2:$F$965=F256)*($G$2:$G$965=G256)*($H$2:$H$965=H256)*($I$2:$I$965=I256)*($J$2:$J$965=J256)*($K$2:$K$965=K256)*($N$2:$N$965=N256))=1,"خیر",IF(SUMPRODUCT(($B$2:B256=B256)*($C$2:C256=C256)*($D$2:D256=D256)*($E$2:E256=E256)*($F$2:F256=F256)*($G$2:G256=G256)*($H$2:H256=H256)*($I$2:I256=I256)*($J$2:J256=J256)*($K$2:K256=K256)*($N$2:N256=N256))=1,"بله-1","بله")))</f>
        <v>خیر</v>
      </c>
      <c r="P256" s="5" t="str" cm="1">
        <f t="array" ref="P256">IF(A256="","",IF(SUMPRODUCT(($F$2:$F$969=F256)*($I$2:$I$969=I256))=1,"خیر",IF(SUMPRODUCT(($F$2:F256=F256)*($I$2:I256=I256))=1,"بله-1","بله")))</f>
        <v>خیر</v>
      </c>
    </row>
    <row r="257" spans="1:16" ht="37.5" x14ac:dyDescent="0.25">
      <c r="A257" s="2">
        <v>210020419</v>
      </c>
      <c r="B257" s="2" t="s">
        <v>1040</v>
      </c>
      <c r="C257" s="2" t="s">
        <v>1041</v>
      </c>
      <c r="D257" s="2" t="s">
        <v>42</v>
      </c>
      <c r="E257" s="2" t="s">
        <v>361</v>
      </c>
      <c r="F257" s="2" t="s">
        <v>1437</v>
      </c>
      <c r="G257" s="2" t="s">
        <v>1438</v>
      </c>
      <c r="H257" s="2" t="s">
        <v>1439</v>
      </c>
      <c r="I257" s="2" t="s">
        <v>1440</v>
      </c>
      <c r="J257" s="2" t="s">
        <v>1441</v>
      </c>
      <c r="K257" s="2" t="s">
        <v>1442</v>
      </c>
      <c r="L257" s="3">
        <f>IF(OR(TRIM(I257)="",TRIM(K257)=""),"",IFERROR((VALUE(LEFT(TRIM(I257),4))-VALUE(LEFT(TRIM(K257),4)))*12+VALUE(MID(TRIM(I257),6,2))-VALUE(MID(TRIM(K257),6,2)),""))</f>
        <v>18</v>
      </c>
      <c r="M257" s="2" t="str">
        <f>IF(TRIM(H257)="","",IFERROR(LOOKUP(2,1/(ISNUMBER(SEARCH('منطق دسته‌بندی'!$A$2:$A$187,H257))),'منطق دسته‌بندی'!$B$2:$B$187),"سایر (نیازمند بررسی دستی)"))</f>
        <v>مکانیزم درب - میکروسوئیچ/قلاب (تعویض/تنظیم)</v>
      </c>
      <c r="N257" s="2" t="s">
        <v>1443</v>
      </c>
      <c r="O257" s="2" t="str" cm="1">
        <f t="array" ref="O257">IF(A257="","",IF(SUMPRODUCT(($B$2:$B$965=B257)*($C$2:$C$965=C257)*($D$2:$D$965=D257)*($E$2:$E$965=E257)*($F$2:$F$965=F257)*($G$2:$G$965=G257)*($H$2:$H$965=H257)*($I$2:$I$965=I257)*($J$2:$J$965=J257)*($K$2:$K$965=K257)*($N$2:$N$965=N257))=1,"خیر",IF(SUMPRODUCT(($B$2:B257=B257)*($C$2:C257=C257)*($D$2:D257=D257)*($E$2:E257=E257)*($F$2:F257=F257)*($G$2:G257=G257)*($H$2:H257=H257)*($I$2:I257=I257)*($J$2:J257=J257)*($K$2:K257=K257)*($N$2:N257=N257))=1,"بله-1","بله")))</f>
        <v>خیر</v>
      </c>
      <c r="P257" s="5" t="str" cm="1">
        <f t="array" ref="P257">IF(A257="","",IF(SUMPRODUCT(($F$2:$F$969=F257)*($I$2:$I$969=I257))=1,"خیر",IF(SUMPRODUCT(($F$2:F257=F257)*($I$2:I257=I257))=1,"بله-1","بله")))</f>
        <v>خیر</v>
      </c>
    </row>
    <row r="258" spans="1:16" ht="18.75" x14ac:dyDescent="0.25">
      <c r="A258" s="2" t="s">
        <v>1346</v>
      </c>
      <c r="B258" s="2" t="s">
        <v>1040</v>
      </c>
      <c r="C258" s="2" t="s">
        <v>1041</v>
      </c>
      <c r="D258" s="2" t="s">
        <v>42</v>
      </c>
      <c r="E258" s="2" t="s">
        <v>361</v>
      </c>
      <c r="F258" s="2" t="s">
        <v>1347</v>
      </c>
      <c r="G258" s="2" t="s">
        <v>1348</v>
      </c>
      <c r="H258" s="2" t="s">
        <v>79</v>
      </c>
      <c r="I258" s="2" t="s">
        <v>1338</v>
      </c>
      <c r="J258" s="2" t="s">
        <v>1349</v>
      </c>
      <c r="K258" s="2" t="s">
        <v>1350</v>
      </c>
      <c r="L258" s="3">
        <f>IF(OR(TRIM(I258)="",TRIM(K258)=""),"",IFERROR((VALUE(LEFT(TRIM(I258),4))-VALUE(LEFT(TRIM(K258),4)))*12+VALUE(MID(TRIM(I258),6,2))-VALUE(MID(TRIM(K258),6,2)),""))</f>
        <v>14</v>
      </c>
      <c r="M258" s="2" t="str">
        <f>IF(TRIM(H258)="","",IFERROR(LOOKUP(2,1/(ISNUMBER(SEARCH('منطق دسته‌بندی'!$A$2:$A$187,H258))),'منطق دسته‌بندی'!$B$2:$B$187),"سایر (نیازمند بررسی دستی)"))</f>
        <v>نشتی - درب مخزن نمک (تعمیر/آب‌بندی)</v>
      </c>
      <c r="N258" s="2" t="s">
        <v>24</v>
      </c>
      <c r="O258" s="2" t="str" cm="1">
        <f t="array" ref="O258">IF(A258="","",IF(SUMPRODUCT(($B$2:$B$965=B258)*($C$2:$C$965=C258)*($D$2:$D$965=D258)*($E$2:$E$965=E258)*($F$2:$F$965=F258)*($G$2:$G$965=G258)*($H$2:$H$965=H258)*($I$2:$I$965=I258)*($J$2:$J$965=J258)*($K$2:$K$965=K258)*($N$2:$N$965=N258))=1,"خیر",IF(SUMPRODUCT(($B$2:B258=B258)*($C$2:C258=C258)*($D$2:D258=D258)*($E$2:E258=E258)*($F$2:F258=F258)*($G$2:G258=G258)*($H$2:H258=H258)*($I$2:I258=I258)*($J$2:J258=J258)*($K$2:K258=K258)*($N$2:N258=N258))=1,"بله-1","بله")))</f>
        <v>خیر</v>
      </c>
      <c r="P258" s="5" t="str" cm="1">
        <f t="array" ref="P258">IF(A258="","",IF(SUMPRODUCT(($F$2:$F$969=F258)*($I$2:$I$969=I258))=1,"خیر",IF(SUMPRODUCT(($F$2:F258=F258)*($I$2:I258=I258))=1,"بله-1","بله")))</f>
        <v>خیر</v>
      </c>
    </row>
    <row r="259" spans="1:16" ht="37.5" x14ac:dyDescent="0.25">
      <c r="A259" s="2">
        <v>310008990</v>
      </c>
      <c r="B259" s="2" t="s">
        <v>1040</v>
      </c>
      <c r="C259" s="2" t="s">
        <v>1041</v>
      </c>
      <c r="D259" s="2" t="s">
        <v>42</v>
      </c>
      <c r="E259" s="15" t="s">
        <v>361</v>
      </c>
      <c r="F259" s="2" t="s">
        <v>1432</v>
      </c>
      <c r="G259" s="2" t="s">
        <v>1433</v>
      </c>
      <c r="H259" s="2" t="s">
        <v>1378</v>
      </c>
      <c r="I259" s="2" t="s">
        <v>1434</v>
      </c>
      <c r="J259" s="2" t="s">
        <v>1435</v>
      </c>
      <c r="K259" s="2"/>
      <c r="L259" s="3" t="str">
        <f>IF(OR(TRIM(I259)="",TRIM(K259)=""),"",IFERROR((VALUE(LEFT(TRIM(I259),4))-VALUE(LEFT(TRIM(K259),4)))*12+VALUE(MID(TRIM(I259),6,2))-VALUE(MID(TRIM(K259),6,2)),""))</f>
        <v/>
      </c>
      <c r="M259" s="2" t="str">
        <f>IF(TRIM(H259)="","",IFERROR(LOOKUP(2,1/(ISNUMBER(SEARCH('منطق دسته‌بندی'!$A$2:$A$187,H259))),'منطق دسته‌بندی'!$B$2:$B$187),"سایر (نیازمند بررسی دستی)"))</f>
        <v>نشتی - مقسم آب (تعمیر/آب‌بندی)</v>
      </c>
      <c r="N259" s="2" t="s">
        <v>1381</v>
      </c>
      <c r="O259" s="2" t="str" cm="1">
        <f t="array" ref="O259">IF(A259="","",IF(SUMPRODUCT(($B$2:$B$965=B259)*($C$2:$C$965=C259)*($D$2:$D$965=D259)*($E$2:$E$965=E259)*($F$2:$F$965=F259)*($G$2:$G$965=G259)*($H$2:$H$965=H259)*($I$2:$I$965=I259)*($J$2:$J$965=J259)*($K$2:$K$965=K259)*($N$2:$N$965=N259))=1,"خیر",IF(SUMPRODUCT(($B$2:B259=B259)*($C$2:C259=C259)*($D$2:D259=D259)*($E$2:E259=E259)*($F$2:F259=F259)*($G$2:G259=G259)*($H$2:H259=H259)*($I$2:I259=I259)*($J$2:J259=J259)*($K$2:K259=K259)*($N$2:N259=N259))=1,"بله-1","بله")))</f>
        <v>خیر</v>
      </c>
      <c r="P259" s="5" t="str" cm="1">
        <f t="array" ref="P259">IF(A259="","",IF(SUMPRODUCT(($F$2:$F$969=F259)*($I$2:$I$969=I259))=1,"خیر",IF(SUMPRODUCT(($F$2:F259=F259)*($I$2:I259=I259))=1,"بله-1","بله")))</f>
        <v>خیر</v>
      </c>
    </row>
    <row r="260" spans="1:16" ht="18.75" x14ac:dyDescent="0.25">
      <c r="A260" s="2">
        <v>310008856</v>
      </c>
      <c r="B260" s="2" t="s">
        <v>1040</v>
      </c>
      <c r="C260" s="2" t="s">
        <v>1041</v>
      </c>
      <c r="D260" s="2" t="s">
        <v>42</v>
      </c>
      <c r="E260" s="2" t="s">
        <v>361</v>
      </c>
      <c r="F260" s="2" t="s">
        <v>1426</v>
      </c>
      <c r="G260" s="2" t="s">
        <v>1427</v>
      </c>
      <c r="H260" s="2" t="s">
        <v>1428</v>
      </c>
      <c r="I260" s="2" t="s">
        <v>1429</v>
      </c>
      <c r="J260" s="2" t="s">
        <v>1430</v>
      </c>
      <c r="K260" s="2" t="s">
        <v>1431</v>
      </c>
      <c r="L260" s="3">
        <f>IF(OR(TRIM(I260)="",TRIM(K260)=""),"",IFERROR((VALUE(LEFT(TRIM(I260),4))-VALUE(LEFT(TRIM(K260),4)))*12+VALUE(MID(TRIM(I260),6,2))-VALUE(MID(TRIM(K260),6,2)),""))</f>
        <v>18</v>
      </c>
      <c r="M260" s="2" t="str">
        <f>IF(TRIM(H260)="","",IFERROR(LOOKUP(2,1/(ISNUMBER(SEARCH('منطق دسته‌بندی'!$A$2:$A$187,H260))),'منطق دسته‌بندی'!$B$2:$B$187),"سایر (نیازمند بررسی دستی)"))</f>
        <v>شیلنگ - برخورد/لهیدگی (بازبینی)</v>
      </c>
      <c r="N260" s="2" t="s">
        <v>1381</v>
      </c>
      <c r="O260" s="2" t="str" cm="1">
        <f t="array" ref="O260">IF(A260="","",IF(SUMPRODUCT(($B$2:$B$965=B260)*($C$2:$C$965=C260)*($D$2:$D$965=D260)*($E$2:$E$965=E260)*($F$2:$F$965=F260)*($G$2:$G$965=G260)*($H$2:$H$965=H260)*($I$2:$I$965=I260)*($J$2:$J$965=J260)*($K$2:$K$965=K260)*($N$2:$N$965=N260))=1,"خیر",IF(SUMPRODUCT(($B$2:B260=B260)*($C$2:C260=C260)*($D$2:D260=D260)*($E$2:E260=E260)*($F$2:F260=F260)*($G$2:G260=G260)*($H$2:H260=H260)*($I$2:I260=I260)*($J$2:J260=J260)*($K$2:K260=K260)*($N$2:N260=N260))=1,"بله-1","بله")))</f>
        <v>خیر</v>
      </c>
      <c r="P260" s="5" t="str" cm="1">
        <f t="array" ref="P260">IF(A260="","",IF(SUMPRODUCT(($F$2:$F$969=F260)*($I$2:$I$969=I260))=1,"خیر",IF(SUMPRODUCT(($F$2:F260=F260)*($I$2:I260=I260))=1,"بله-1","بله")))</f>
        <v>خیر</v>
      </c>
    </row>
    <row r="261" spans="1:16" ht="37.5" x14ac:dyDescent="0.25">
      <c r="A261" s="2">
        <v>310010278</v>
      </c>
      <c r="B261" s="2" t="s">
        <v>1950</v>
      </c>
      <c r="C261" s="2" t="s">
        <v>1951</v>
      </c>
      <c r="D261" s="2" t="s">
        <v>42</v>
      </c>
      <c r="E261" s="2" t="s">
        <v>1042</v>
      </c>
      <c r="F261" s="2" t="s">
        <v>1660</v>
      </c>
      <c r="G261" s="2" t="s">
        <v>1436</v>
      </c>
      <c r="H261" s="2" t="s">
        <v>1439</v>
      </c>
      <c r="I261" s="2" t="s">
        <v>1360</v>
      </c>
      <c r="J261" s="2" t="s">
        <v>1453</v>
      </c>
      <c r="K261" s="2" t="s">
        <v>1661</v>
      </c>
      <c r="L261" s="3">
        <f>IF(OR(TRIM(I261)="",TRIM(K261)=""),"",IFERROR((VALUE(LEFT(TRIM(I261),4))-VALUE(LEFT(TRIM(K261),4)))*12+VALUE(MID(TRIM(I261),6,2))-VALUE(MID(TRIM(K261),6,2)),""))</f>
        <v>7</v>
      </c>
      <c r="M261" s="2" t="str">
        <f>IF(TRIM(H261)="","",IFERROR(LOOKUP(2,1/(ISNUMBER(SEARCH('منطق دسته‌بندی'!$A$2:$A$187,H261))),'منطق دسته‌بندی'!$B$2:$B$187),"سایر (نیازمند بررسی دستی)"))</f>
        <v>مکانیزم درب - میکروسوئیچ/قلاب (تعویض/تنظیم)</v>
      </c>
      <c r="N261" s="2" t="s">
        <v>1443</v>
      </c>
      <c r="O261" s="2" t="str" cm="1">
        <f t="array" ref="O261">IF(A261="","",IF(SUMPRODUCT(($B$2:$B$965=B261)*($C$2:$C$965=C261)*($D$2:$D$965=D261)*($E$2:$E$965=E261)*($F$2:$F$965=F261)*($G$2:$G$965=G261)*($H$2:$H$965=H261)*($I$2:$I$965=I261)*($J$2:$J$965=J261)*($K$2:$K$965=K261)*($N$2:$N$965=N261))=1,"خیر",IF(SUMPRODUCT(($B$2:B261=B261)*($C$2:C261=C261)*($D$2:D261=D261)*($E$2:E261=E261)*($F$2:F261=F261)*($G$2:G261=G261)*($H$2:H261=H261)*($I$2:I261=I261)*($J$2:J261=J261)*($K$2:K261=K261)*($N$2:N261=N261))=1,"بله-1","بله")))</f>
        <v>خیر</v>
      </c>
      <c r="P261" s="5" t="str" cm="1">
        <f t="array" ref="P261">IF(A261="","",IF(SUMPRODUCT(($F$2:$F$969=F261)*($I$2:$I$969=I261))=1,"خیر",IF(SUMPRODUCT(($F$2:F261=F261)*($I$2:I261=I261))=1,"بله-1","بله")))</f>
        <v>خیر</v>
      </c>
    </row>
    <row r="262" spans="1:16" ht="37.5" x14ac:dyDescent="0.25">
      <c r="A262" s="2" t="s">
        <v>444</v>
      </c>
      <c r="B262" s="2" t="s">
        <v>16</v>
      </c>
      <c r="C262" s="2" t="s">
        <v>17</v>
      </c>
      <c r="D262" s="2" t="s">
        <v>42</v>
      </c>
      <c r="E262" s="2" t="s">
        <v>51</v>
      </c>
      <c r="F262" s="2" t="s">
        <v>445</v>
      </c>
      <c r="G262" s="2" t="s">
        <v>446</v>
      </c>
      <c r="H262" s="2" t="s">
        <v>450</v>
      </c>
      <c r="I262" s="2" t="s">
        <v>435</v>
      </c>
      <c r="J262" s="2" t="s">
        <v>447</v>
      </c>
      <c r="K262" s="2" t="s">
        <v>448</v>
      </c>
      <c r="L262" s="3">
        <f>IF(OR(TRIM(I262)="",TRIM(K262)=""),"",IFERROR((VALUE(LEFT(TRIM(I262),4))-VALUE(LEFT(TRIM(K262),4)))*12+VALUE(MID(TRIM(I262),6,2))-VALUE(MID(TRIM(K262),6,2)),""))</f>
        <v>1</v>
      </c>
      <c r="M262" s="2" t="str">
        <f>IF(TRIM(H262)="","",IFERROR(LOOKUP(2,1/(ISNUMBER(SEARCH('منطق دسته‌بندی'!$A$2:$A$187,H262))),'منطق دسته‌بندی'!$B$2:$B$187),"سایر (نیازمند بررسی دستی)"))</f>
        <v>سبد ظرفشویی - شکستگی (تعویض)</v>
      </c>
      <c r="N262" s="2" t="s">
        <v>449</v>
      </c>
      <c r="O262" s="2" t="str" cm="1">
        <f t="array" ref="O262">IF(A262="","",IF(SUMPRODUCT(($B$2:$B$965=B262)*($C$2:$C$965=C262)*($D$2:$D$965=D262)*($E$2:$E$965=E262)*($F$2:$F$965=F262)*($G$2:$G$965=G262)*($H$2:$H$965=H262)*($I$2:$I$965=I262)*($J$2:$J$965=J262)*($K$2:$K$965=K262)*($N$2:$N$965=N262))=1,"خیر",IF(SUMPRODUCT(($B$2:B262=B262)*($C$2:C262=C262)*($D$2:D262=D262)*($E$2:E262=E262)*($F$2:F262=F262)*($G$2:G262=G262)*($H$2:H262=H262)*($I$2:I262=I262)*($J$2:J262=J262)*($K$2:K262=K262)*($N$2:N262=N262))=1,"بله-1","بله")))</f>
        <v>خیر</v>
      </c>
      <c r="P262" s="5" t="str" cm="1">
        <f t="array" ref="P262">IF(A262="","",IF(SUMPRODUCT(($F$2:$F$969=F262)*($I$2:$I$969=I262))=1,"خیر",IF(SUMPRODUCT(($F$2:F262=F262)*($I$2:I262=I262))=1,"بله-1","بله")))</f>
        <v>خیر</v>
      </c>
    </row>
    <row r="263" spans="1:16" ht="18.75" x14ac:dyDescent="0.25">
      <c r="A263" s="2" t="s">
        <v>819</v>
      </c>
      <c r="B263" s="2" t="s">
        <v>632</v>
      </c>
      <c r="C263" s="2" t="s">
        <v>633</v>
      </c>
      <c r="D263" s="2" t="s">
        <v>42</v>
      </c>
      <c r="E263" s="2" t="s">
        <v>51</v>
      </c>
      <c r="F263" s="2" t="s">
        <v>820</v>
      </c>
      <c r="G263" s="2" t="s">
        <v>78</v>
      </c>
      <c r="H263" s="2" t="s">
        <v>503</v>
      </c>
      <c r="I263" s="2" t="s">
        <v>821</v>
      </c>
      <c r="J263" s="2" t="s">
        <v>822</v>
      </c>
      <c r="K263" s="2" t="s">
        <v>823</v>
      </c>
      <c r="L263" s="3">
        <f>IF(OR(TRIM(I263)="",TRIM(K263)=""),"",IFERROR((VALUE(LEFT(TRIM(I263),4))-VALUE(LEFT(TRIM(K263),4)))*12+VALUE(MID(TRIM(I263),6,2))-VALUE(MID(TRIM(K263),6,2)),""))</f>
        <v>4</v>
      </c>
      <c r="M263" s="2" t="str">
        <f>IF(TRIM(H263)="","",IFERROR(LOOKUP(2,1/(ISNUMBER(SEARCH('منطق دسته‌بندی'!$A$2:$A$187,H263))),'منطق دسته‌بندی'!$B$2:$B$187),"سایر (نیازمند بررسی دستی)"))</f>
        <v>نشتی - شیلنگ (تعمیر/آب‌بندی)</v>
      </c>
      <c r="N263" s="2" t="s">
        <v>24</v>
      </c>
      <c r="O263" s="2" t="str" cm="1">
        <f t="array" ref="O263">IF(A263="","",IF(SUMPRODUCT(($B$2:$B$965=B263)*($C$2:$C$965=C263)*($D$2:$D$965=D263)*($E$2:$E$965=E263)*($F$2:$F$965=F263)*($G$2:$G$965=G263)*($H$2:$H$965=H263)*($I$2:$I$965=I263)*($J$2:$J$965=J263)*($K$2:$K$965=K263)*($N$2:$N$965=N263))=1,"خیر",IF(SUMPRODUCT(($B$2:B263=B263)*($C$2:C263=C263)*($D$2:D263=D263)*($E$2:E263=E263)*($F$2:F263=F263)*($G$2:G263=G263)*($H$2:H263=H263)*($I$2:I263=I263)*($J$2:J263=J263)*($K$2:K263=K263)*($N$2:N263=N263))=1,"بله-1","بله")))</f>
        <v>خیر</v>
      </c>
      <c r="P263" s="5" t="str" cm="1">
        <f t="array" ref="P263">IF(A263="","",IF(SUMPRODUCT(($F$2:$F$969=F263)*($I$2:$I$969=I263))=1,"خیر",IF(SUMPRODUCT(($F$2:F263=F263)*($I$2:I263=I263))=1,"بله-1","بله")))</f>
        <v>خیر</v>
      </c>
    </row>
    <row r="264" spans="1:16" ht="18.75" x14ac:dyDescent="0.25">
      <c r="A264" s="2">
        <v>810006450</v>
      </c>
      <c r="B264" s="2" t="s">
        <v>1950</v>
      </c>
      <c r="C264" s="2" t="s">
        <v>1951</v>
      </c>
      <c r="D264" s="2" t="s">
        <v>42</v>
      </c>
      <c r="E264" s="2" t="s">
        <v>1042</v>
      </c>
      <c r="F264" s="2" t="s">
        <v>1637</v>
      </c>
      <c r="G264" s="2" t="s">
        <v>1549</v>
      </c>
      <c r="H264" s="18" t="s">
        <v>221</v>
      </c>
      <c r="I264" s="2" t="s">
        <v>1474</v>
      </c>
      <c r="J264" s="2" t="s">
        <v>822</v>
      </c>
      <c r="K264" s="2" t="s">
        <v>1459</v>
      </c>
      <c r="L264" s="3">
        <f>IF(OR(TRIM(I264)="",TRIM(K264)=""),"",IFERROR((VALUE(LEFT(TRIM(I264),4))-VALUE(LEFT(TRIM(K264),4)))*12+VALUE(MID(TRIM(I264),6,2))-VALUE(MID(TRIM(K264),6,2)),""))</f>
        <v>6</v>
      </c>
      <c r="M264" s="2" t="str">
        <f>IF(TRIM(H264)="","",IFERROR(LOOKUP(2,1/(ISNUMBER(SEARCH('منطق دسته‌بندی'!$A$2:$A$187,H264))),'منطق دسته‌بندی'!$B$2:$B$187),"سایر (نیازمند بررسی دستی)"))</f>
        <v>نشتی - پمپ تخلیه (تعمیر/آب‌بندی)</v>
      </c>
      <c r="N264" s="2" t="s">
        <v>2025</v>
      </c>
      <c r="O264" s="2" t="str" cm="1">
        <f t="array" ref="O264">IF(A264="","",IF(SUMPRODUCT(($B$2:$B$965=B264)*($C$2:$C$965=C264)*($D$2:$D$965=D264)*($E$2:$E$965=E264)*($F$2:$F$965=F264)*($G$2:$G$965=G264)*($H$2:$H$965=H264)*($I$2:$I$965=I264)*($J$2:$J$965=J264)*($K$2:$K$965=K264)*($N$2:$N$965=N264))=1,"خیر",IF(SUMPRODUCT(($B$2:B264=B264)*($C$2:C264=C264)*($D$2:D264=D264)*($E$2:E264=E264)*($F$2:F264=F264)*($G$2:G264=G264)*($H$2:H264=H264)*($I$2:I264=I264)*($J$2:J264=J264)*($K$2:K264=K264)*($N$2:N264=N264))=1,"بله-1","بله")))</f>
        <v>خیر</v>
      </c>
      <c r="P264" s="5" t="str" cm="1">
        <f t="array" ref="P264">IF(A264="","",IF(SUMPRODUCT(($F$2:$F$969=F264)*($I$2:$I$969=I264))=1,"خیر",IF(SUMPRODUCT(($F$2:F264=F264)*($I$2:I264=I264))=1,"بله-1","بله")))</f>
        <v>خیر</v>
      </c>
    </row>
    <row r="265" spans="1:16" ht="37.5" x14ac:dyDescent="0.25">
      <c r="A265" s="2">
        <v>210020175</v>
      </c>
      <c r="B265" s="2" t="s">
        <v>1040</v>
      </c>
      <c r="C265" s="2" t="s">
        <v>1041</v>
      </c>
      <c r="D265" s="2" t="s">
        <v>42</v>
      </c>
      <c r="E265" s="2" t="s">
        <v>1042</v>
      </c>
      <c r="F265" s="2" t="s">
        <v>1604</v>
      </c>
      <c r="G265" s="2" t="s">
        <v>1605</v>
      </c>
      <c r="H265" s="2" t="s">
        <v>1606</v>
      </c>
      <c r="I265" s="2" t="s">
        <v>1506</v>
      </c>
      <c r="J265" s="2" t="s">
        <v>1607</v>
      </c>
      <c r="K265" s="2" t="s">
        <v>747</v>
      </c>
      <c r="L265" s="3">
        <f>IF(OR(TRIM(I265)="",TRIM(K265)=""),"",IFERROR((VALUE(LEFT(TRIM(I265),4))-VALUE(LEFT(TRIM(K265),4)))*12+VALUE(MID(TRIM(I265),6,2))-VALUE(MID(TRIM(K265),6,2)),""))</f>
        <v>11</v>
      </c>
      <c r="M265" s="2" t="str">
        <f>IF(TRIM(H265)="","",IFERROR(LOOKUP(2,1/(ISNUMBER(SEARCH('منطق دسته‌بندی'!$A$2:$A$187,H265))),'منطق دسته‌بندی'!$B$2:$B$187),"سایر (نیازمند بررسی دستی)"))</f>
        <v>نشتی آب - محل نامشخص (نیازمند بازدید)</v>
      </c>
      <c r="N265" s="2" t="s">
        <v>1381</v>
      </c>
      <c r="O265" s="2" t="str" cm="1">
        <f t="array" ref="O265">IF(A265="","",IF(SUMPRODUCT(($B$2:$B$965=B265)*($C$2:$C$965=C265)*($D$2:$D$965=D265)*($E$2:$E$965=E265)*($F$2:$F$965=F265)*($G$2:$G$965=G265)*($H$2:$H$965=H265)*($I$2:$I$965=I265)*($J$2:$J$965=J265)*($K$2:$K$965=K265)*($N$2:$N$965=N265))=1,"خیر",IF(SUMPRODUCT(($B$2:B265=B265)*($C$2:C265=C265)*($D$2:D265=D265)*($E$2:E265=E265)*($F$2:F265=F265)*($G$2:G265=G265)*($H$2:H265=H265)*($I$2:I265=I265)*($J$2:J265=J265)*($K$2:K265=K265)*($N$2:N265=N265))=1,"بله-1","بله")))</f>
        <v>خیر</v>
      </c>
      <c r="P265" s="5" t="str" cm="1">
        <f t="array" ref="P265">IF(A265="","",IF(SUMPRODUCT(($F$2:$F$969=F265)*($I$2:$I$969=I265))=1,"خیر",IF(SUMPRODUCT(($F$2:F265=F265)*($I$2:I265=I265))=1,"بله-1","بله")))</f>
        <v>خیر</v>
      </c>
    </row>
    <row r="266" spans="1:16" ht="18.75" x14ac:dyDescent="0.25">
      <c r="A266" s="2" t="s">
        <v>541</v>
      </c>
      <c r="B266" s="2" t="s">
        <v>16</v>
      </c>
      <c r="C266" s="2" t="s">
        <v>17</v>
      </c>
      <c r="D266" s="2" t="s">
        <v>42</v>
      </c>
      <c r="E266" s="2" t="s">
        <v>51</v>
      </c>
      <c r="F266" s="2" t="s">
        <v>542</v>
      </c>
      <c r="G266" s="2" t="s">
        <v>543</v>
      </c>
      <c r="H266" s="2" t="s">
        <v>544</v>
      </c>
      <c r="I266" s="2" t="s">
        <v>507</v>
      </c>
      <c r="J266" s="2" t="s">
        <v>545</v>
      </c>
      <c r="K266" s="2" t="s">
        <v>546</v>
      </c>
      <c r="L266" s="3">
        <f>IF(OR(TRIM(I266)="",TRIM(K266)=""),"",IFERROR((VALUE(LEFT(TRIM(I266),4))-VALUE(LEFT(TRIM(K266),4)))*12+VALUE(MID(TRIM(I266),6,2))-VALUE(MID(TRIM(K266),6,2)),""))</f>
        <v>13</v>
      </c>
      <c r="M266" s="2" t="str">
        <f>IF(TRIM(H266)="","",IFERROR(LOOKUP(2,1/(ISNUMBER(SEARCH('منطق دسته‌بندی'!$A$2:$A$187,H266))),'منطق دسته‌بندی'!$B$2:$B$187),"سایر (نیازمند بررسی دستی)"))</f>
        <v>نشتی - پمپ تخلیه (تعمیر/آب‌بندی)</v>
      </c>
      <c r="N266" s="2" t="s">
        <v>2025</v>
      </c>
      <c r="O266" s="2" t="str" cm="1">
        <f t="array" ref="O266">IF(A266="","",IF(SUMPRODUCT(($B$2:$B$965=B266)*($C$2:$C$965=C266)*($D$2:$D$965=D266)*($E$2:$E$965=E266)*($F$2:$F$965=F266)*($G$2:$G$965=G266)*($H$2:$H$965=H266)*($I$2:$I$965=I266)*($J$2:$J$965=J266)*($K$2:$K$965=K266)*($N$2:$N$965=N266))=1,"خیر",IF(SUMPRODUCT(($B$2:B266=B266)*($C$2:C266=C266)*($D$2:D266=D266)*($E$2:E266=E266)*($F$2:F266=F266)*($G$2:G266=G266)*($H$2:H266=H266)*($I$2:I266=I266)*($J$2:J266=J266)*($K$2:K266=K266)*($N$2:N266=N266))=1,"بله-1","بله")))</f>
        <v>خیر</v>
      </c>
      <c r="P266" s="5" t="str" cm="1">
        <f t="array" ref="P266">IF(A266="","",IF(SUMPRODUCT(($F$2:$F$969=F266)*($I$2:$I$969=I266))=1,"خیر",IF(SUMPRODUCT(($F$2:F266=F266)*($I$2:I266=I266))=1,"بله-1","بله")))</f>
        <v>خیر</v>
      </c>
    </row>
    <row r="267" spans="1:16" ht="18.75" x14ac:dyDescent="0.25">
      <c r="A267" s="2" t="s">
        <v>626</v>
      </c>
      <c r="B267" s="2" t="s">
        <v>16</v>
      </c>
      <c r="C267" s="2" t="s">
        <v>17</v>
      </c>
      <c r="D267" s="2" t="s">
        <v>42</v>
      </c>
      <c r="E267" s="2" t="s">
        <v>51</v>
      </c>
      <c r="F267" s="2" t="s">
        <v>542</v>
      </c>
      <c r="G267" s="2" t="s">
        <v>543</v>
      </c>
      <c r="H267" s="18" t="s">
        <v>221</v>
      </c>
      <c r="I267" s="2" t="s">
        <v>623</v>
      </c>
      <c r="J267" s="2" t="s">
        <v>545</v>
      </c>
      <c r="K267" s="2" t="s">
        <v>546</v>
      </c>
      <c r="L267" s="3">
        <f>IF(OR(TRIM(I267)="",TRIM(K267)=""),"",IFERROR((VALUE(LEFT(TRIM(I267),4))-VALUE(LEFT(TRIM(K267),4)))*12+VALUE(MID(TRIM(I267),6,2))-VALUE(MID(TRIM(K267),6,2)),""))</f>
        <v>13</v>
      </c>
      <c r="M267" s="2" t="str">
        <f>IF(TRIM(H267)="","",IFERROR(LOOKUP(2,1/(ISNUMBER(SEARCH('منطق دسته‌بندی'!$A$2:$A$187,H267))),'منطق دسته‌بندی'!$B$2:$B$187),"سایر (نیازمند بررسی دستی)"))</f>
        <v>نشتی - پمپ تخلیه (تعمیر/آب‌بندی)</v>
      </c>
      <c r="N267" s="2" t="s">
        <v>2025</v>
      </c>
      <c r="O267" s="2" t="str" cm="1">
        <f t="array" ref="O267">IF(A267="","",IF(SUMPRODUCT(($B$2:$B$965=B267)*($C$2:$C$965=C267)*($D$2:$D$965=D267)*($E$2:$E$965=E267)*($F$2:$F$965=F267)*($G$2:$G$965=G267)*($H$2:$H$965=H267)*($I$2:$I$965=I267)*($J$2:$J$965=J267)*($K$2:$K$965=K267)*($N$2:$N$965=N267))=1,"خیر",IF(SUMPRODUCT(($B$2:B267=B267)*($C$2:C267=C267)*($D$2:D267=D267)*($E$2:E267=E267)*($F$2:F267=F267)*($G$2:G267=G267)*($H$2:H267=H267)*($I$2:I267=I267)*($J$2:J267=J267)*($K$2:K267=K267)*($N$2:N267=N267))=1,"بله-1","بله")))</f>
        <v>خیر</v>
      </c>
      <c r="P267" s="5" t="str" cm="1">
        <f t="array" ref="P267">IF(A267="","",IF(SUMPRODUCT(($F$2:$F$969=F267)*($I$2:$I$969=I267))=1,"خیر",IF(SUMPRODUCT(($F$2:F267=F267)*($I$2:I267=I267))=1,"بله-1","بله")))</f>
        <v>خیر</v>
      </c>
    </row>
    <row r="268" spans="1:16" ht="37.5" x14ac:dyDescent="0.25">
      <c r="A268" s="2" t="s">
        <v>1125</v>
      </c>
      <c r="B268" s="2" t="s">
        <v>1040</v>
      </c>
      <c r="C268" s="2" t="s">
        <v>1041</v>
      </c>
      <c r="D268" s="2" t="s">
        <v>42</v>
      </c>
      <c r="E268" s="2" t="s">
        <v>1042</v>
      </c>
      <c r="F268" s="2" t="s">
        <v>1126</v>
      </c>
      <c r="G268" s="2" t="s">
        <v>1127</v>
      </c>
      <c r="H268" s="2" t="s">
        <v>68</v>
      </c>
      <c r="I268" s="2" t="s">
        <v>1128</v>
      </c>
      <c r="J268" s="2" t="s">
        <v>418</v>
      </c>
      <c r="K268" s="2" t="s">
        <v>1129</v>
      </c>
      <c r="L268" s="3">
        <f>IF(OR(TRIM(I268)="",TRIM(K268)=""),"",IFERROR((VALUE(LEFT(TRIM(I268),4))-VALUE(LEFT(TRIM(K268),4)))*12+VALUE(MID(TRIM(I268),6,2))-VALUE(MID(TRIM(K268),6,2)),""))</f>
        <v>13</v>
      </c>
      <c r="M268" s="2" t="str">
        <f>IF(TRIM(H268)="","",IFERROR(LOOKUP(2,1/(ISNUMBER(SEARCH('منطق دسته‌بندی'!$A$2:$A$187,H268))),'منطق دسته‌بندی'!$B$2:$B$187),"سایر (نیازمند بررسی دستی)"))</f>
        <v>مکانیزم درب - میکروسوئیچ/قلاب (تعویض/تنظیم)</v>
      </c>
      <c r="N268" s="2" t="s">
        <v>1059</v>
      </c>
      <c r="O268" s="2" t="str" cm="1">
        <f t="array" ref="O268">IF(A268="","",IF(SUMPRODUCT(($B$2:$B$965=B268)*($C$2:$C$965=C268)*($D$2:$D$965=D268)*($E$2:$E$965=E268)*($F$2:$F$965=F268)*($G$2:$G$965=G268)*($H$2:$H$965=H268)*($I$2:$I$965=I268)*($J$2:$J$965=J268)*($K$2:$K$965=K268)*($N$2:$N$965=N268))=1,"خیر",IF(SUMPRODUCT(($B$2:B268=B268)*($C$2:C268=C268)*($D$2:D268=D268)*($E$2:E268=E268)*($F$2:F268=F268)*($G$2:G268=G268)*($H$2:H268=H268)*($I$2:I268=I268)*($J$2:J268=J268)*($K$2:K268=K268)*($N$2:N268=N268))=1,"بله-1","بله")))</f>
        <v>خیر</v>
      </c>
      <c r="P268" s="5" t="str" cm="1">
        <f t="array" ref="P268">IF(A268="","",IF(SUMPRODUCT(($F$2:$F$969=F268)*($I$2:$I$969=I268))=1,"خیر",IF(SUMPRODUCT(($F$2:F268=F268)*($I$2:I268=I268))=1,"بله-1","بله")))</f>
        <v>خیر</v>
      </c>
    </row>
    <row r="269" spans="1:16" ht="18.75" x14ac:dyDescent="0.25">
      <c r="A269" s="2" t="s">
        <v>805</v>
      </c>
      <c r="B269" s="2" t="s">
        <v>632</v>
      </c>
      <c r="C269" s="2" t="s">
        <v>633</v>
      </c>
      <c r="D269" s="2" t="s">
        <v>42</v>
      </c>
      <c r="E269" s="2" t="s">
        <v>51</v>
      </c>
      <c r="F269" s="2" t="s">
        <v>806</v>
      </c>
      <c r="G269" s="2" t="s">
        <v>543</v>
      </c>
      <c r="H269" s="2" t="s">
        <v>487</v>
      </c>
      <c r="I269" s="2" t="s">
        <v>807</v>
      </c>
      <c r="J269" s="2" t="s">
        <v>418</v>
      </c>
      <c r="K269" s="2" t="s">
        <v>117</v>
      </c>
      <c r="L269" s="3">
        <f>IF(OR(TRIM(I269)="",TRIM(K269)=""),"",IFERROR((VALUE(LEFT(TRIM(I269),4))-VALUE(LEFT(TRIM(K269),4)))*12+VALUE(MID(TRIM(I269),6,2))-VALUE(MID(TRIM(K269),6,2)),""))</f>
        <v>14</v>
      </c>
      <c r="M269" s="2" t="str">
        <f>IF(TRIM(H269)="","",IFERROR(LOOKUP(2,1/(ISNUMBER(SEARCH('منطق دسته‌بندی'!$A$2:$A$187,H269))),'منطق دسته‌بندی'!$B$2:$B$187),"سایر (نیازمند بررسی دستی)"))</f>
        <v>نشتی - شیلنگ (تعمیر/آب‌بندی)</v>
      </c>
      <c r="N269" s="2" t="s">
        <v>24</v>
      </c>
      <c r="O269" s="2" t="str" cm="1">
        <f t="array" ref="O269">IF(A269="","",IF(SUMPRODUCT(($B$2:$B$965=B269)*($C$2:$C$965=C269)*($D$2:$D$965=D269)*($E$2:$E$965=E269)*($F$2:$F$965=F269)*($G$2:$G$965=G269)*($H$2:$H$965=H269)*($I$2:$I$965=I269)*($J$2:$J$965=J269)*($K$2:$K$965=K269)*($N$2:$N$965=N269))=1,"خیر",IF(SUMPRODUCT(($B$2:B269=B269)*($C$2:C269=C269)*($D$2:D269=D269)*($E$2:E269=E269)*($F$2:F269=F269)*($G$2:G269=G269)*($H$2:H269=H269)*($I$2:I269=I269)*($J$2:J269=J269)*($K$2:K269=K269)*($N$2:N269=N269))=1,"بله-1","بله")))</f>
        <v>خیر</v>
      </c>
      <c r="P269" s="5" t="str" cm="1">
        <f t="array" ref="P269">IF(A269="","",IF(SUMPRODUCT(($F$2:$F$969=F269)*($I$2:$I$969=I269))=1,"خیر",IF(SUMPRODUCT(($F$2:F269=F269)*($I$2:I269=I269))=1,"بله-1","بله")))</f>
        <v>خیر</v>
      </c>
    </row>
    <row r="270" spans="1:16" ht="18.75" x14ac:dyDescent="0.25">
      <c r="A270" s="2" t="s">
        <v>485</v>
      </c>
      <c r="B270" s="2" t="s">
        <v>16</v>
      </c>
      <c r="C270" s="2" t="s">
        <v>17</v>
      </c>
      <c r="D270" s="2" t="s">
        <v>42</v>
      </c>
      <c r="E270" s="2" t="s">
        <v>51</v>
      </c>
      <c r="F270" s="2" t="s">
        <v>486</v>
      </c>
      <c r="G270" s="2" t="s">
        <v>78</v>
      </c>
      <c r="H270" s="2" t="s">
        <v>487</v>
      </c>
      <c r="I270" s="2" t="s">
        <v>435</v>
      </c>
      <c r="J270" s="2" t="s">
        <v>488</v>
      </c>
      <c r="K270" s="2" t="s">
        <v>489</v>
      </c>
      <c r="L270" s="3">
        <f>IF(OR(TRIM(I270)="",TRIM(K270)=""),"",IFERROR((VALUE(LEFT(TRIM(I270),4))-VALUE(LEFT(TRIM(K270),4)))*12+VALUE(MID(TRIM(I270),6,2))-VALUE(MID(TRIM(K270),6,2)),""))</f>
        <v>11</v>
      </c>
      <c r="M270" s="2" t="str">
        <f>IF(TRIM(H270)="","",IFERROR(LOOKUP(2,1/(ISNUMBER(SEARCH('منطق دسته‌بندی'!$A$2:$A$187,H270))),'منطق دسته‌بندی'!$B$2:$B$187),"سایر (نیازمند بررسی دستی)"))</f>
        <v>نشتی - شیلنگ (تعمیر/آب‌بندی)</v>
      </c>
      <c r="N270" s="2" t="s">
        <v>24</v>
      </c>
      <c r="O270" s="2" t="str" cm="1">
        <f t="array" ref="O270">IF(A270="","",IF(SUMPRODUCT(($B$2:$B$965=B270)*($C$2:$C$965=C270)*($D$2:$D$965=D270)*($E$2:$E$965=E270)*($F$2:$F$965=F270)*($G$2:$G$965=G270)*($H$2:$H$965=H270)*($I$2:$I$965=I270)*($J$2:$J$965=J270)*($K$2:$K$965=K270)*($N$2:$N$965=N270))=1,"خیر",IF(SUMPRODUCT(($B$2:B270=B270)*($C$2:C270=C270)*($D$2:D270=D270)*($E$2:E270=E270)*($F$2:F270=F270)*($G$2:G270=G270)*($H$2:H270=H270)*($I$2:I270=I270)*($J$2:J270=J270)*($K$2:K270=K270)*($N$2:N270=N270))=1,"بله-1","بله")))</f>
        <v>خیر</v>
      </c>
      <c r="P270" s="5" t="str" cm="1">
        <f t="array" ref="P270">IF(A270="","",IF(SUMPRODUCT(($F$2:$F$969=F270)*($I$2:$I$969=I270))=1,"خیر",IF(SUMPRODUCT(($F$2:F270=F270)*($I$2:I270=I270))=1,"بله-1","بله")))</f>
        <v>خیر</v>
      </c>
    </row>
    <row r="271" spans="1:16" ht="18.75" x14ac:dyDescent="0.25">
      <c r="A271" s="2">
        <v>210024305</v>
      </c>
      <c r="B271" s="2" t="s">
        <v>1950</v>
      </c>
      <c r="C271" s="2" t="s">
        <v>1951</v>
      </c>
      <c r="D271" s="2" t="s">
        <v>42</v>
      </c>
      <c r="E271" s="2" t="s">
        <v>1042</v>
      </c>
      <c r="F271" s="2" t="s">
        <v>1422</v>
      </c>
      <c r="G271" s="2" t="s">
        <v>1377</v>
      </c>
      <c r="H271" s="2" t="s">
        <v>1423</v>
      </c>
      <c r="I271" s="2" t="s">
        <v>1424</v>
      </c>
      <c r="J271" s="2" t="s">
        <v>977</v>
      </c>
      <c r="K271" s="2" t="s">
        <v>1425</v>
      </c>
      <c r="L271" s="3">
        <f>IF(OR(TRIM(I271)="",TRIM(K271)=""),"",IFERROR((VALUE(LEFT(TRIM(I271),4))-VALUE(LEFT(TRIM(K271),4)))*12+VALUE(MID(TRIM(I271),6,2))-VALUE(MID(TRIM(K271),6,2)),""))</f>
        <v>18</v>
      </c>
      <c r="M271" s="2" t="str">
        <f>IF(TRIM(H271)="","",IFERROR(LOOKUP(2,1/(ISNUMBER(SEARCH('منطق دسته‌بندی'!$A$2:$A$187,H271))),'منطق دسته‌بندی'!$B$2:$B$187),"سایر (نیازمند بررسی دستی)"))</f>
        <v>نشتی - پمپ تخلیه (تعمیر/آب‌بندی)</v>
      </c>
      <c r="N271" s="2" t="s">
        <v>2025</v>
      </c>
      <c r="O271" s="2" t="str" cm="1">
        <f t="array" ref="O271">IF(A271="","",IF(SUMPRODUCT(($B$2:$B$965=B271)*($C$2:$C$965=C271)*($D$2:$D$965=D271)*($E$2:$E$965=E271)*($F$2:$F$965=F271)*($G$2:$G$965=G271)*($H$2:$H$965=H271)*($I$2:$I$965=I271)*($J$2:$J$965=J271)*($K$2:$K$965=K271)*($N$2:$N$965=N271))=1,"خیر",IF(SUMPRODUCT(($B$2:B271=B271)*($C$2:C271=C271)*($D$2:D271=D271)*($E$2:E271=E271)*($F$2:F271=F271)*($G$2:G271=G271)*($H$2:H271=H271)*($I$2:I271=I271)*($J$2:J271=J271)*($K$2:K271=K271)*($N$2:N271=N271))=1,"بله-1","بله")))</f>
        <v>خیر</v>
      </c>
      <c r="P271" s="5" t="str" cm="1">
        <f t="array" ref="P271">IF(A271="","",IF(SUMPRODUCT(($F$2:$F$969=F271)*($I$2:$I$969=I271))=1,"خیر",IF(SUMPRODUCT(($F$2:F271=F271)*($I$2:I271=I271))=1,"بله-1","بله")))</f>
        <v>خیر</v>
      </c>
    </row>
    <row r="272" spans="1:16" ht="37.5" x14ac:dyDescent="0.25">
      <c r="A272" s="2" t="s">
        <v>50</v>
      </c>
      <c r="B272" s="2" t="s">
        <v>16</v>
      </c>
      <c r="C272" s="2" t="s">
        <v>17</v>
      </c>
      <c r="D272" s="2" t="s">
        <v>42</v>
      </c>
      <c r="E272" s="2" t="s">
        <v>51</v>
      </c>
      <c r="F272" s="2" t="s">
        <v>52</v>
      </c>
      <c r="G272" s="2" t="s">
        <v>53</v>
      </c>
      <c r="H272" s="2" t="s">
        <v>54</v>
      </c>
      <c r="I272" s="2" t="s">
        <v>47</v>
      </c>
      <c r="J272" s="2" t="s">
        <v>55</v>
      </c>
      <c r="K272" s="2" t="s">
        <v>56</v>
      </c>
      <c r="L272" s="3">
        <f>IF(OR(TRIM(I272)="",TRIM(K272)=""),"",IFERROR((VALUE(LEFT(TRIM(I272),4))-VALUE(LEFT(TRIM(K272),4)))*12+VALUE(MID(TRIM(I272),6,2))-VALUE(MID(TRIM(K272),6,2)),""))</f>
        <v>0</v>
      </c>
      <c r="M272" s="2" t="str">
        <f>IF(TRIM(H272)="","",IFERROR(LOOKUP(2,1/(ISNUMBER(SEARCH('منطق دسته‌بندی'!$A$2:$A$187,H272))),'منطق دسته‌بندی'!$B$2:$B$187),"سایر (نیازمند بررسی دستی)"))</f>
        <v>قطعات تزئینی - شکستگی/کسری (تعویض)</v>
      </c>
      <c r="N272" s="2" t="s">
        <v>24</v>
      </c>
      <c r="O272" s="2" t="str" cm="1">
        <f t="array" ref="O272">IF(A272="","",IF(SUMPRODUCT(($B$2:$B$965=B272)*($C$2:$C$965=C272)*($D$2:$D$965=D272)*($E$2:$E$965=E272)*($F$2:$F$965=F272)*($G$2:$G$965=G272)*($H$2:$H$965=H272)*($I$2:$I$965=I272)*($J$2:$J$965=J272)*($K$2:$K$965=K272)*($N$2:$N$965=N272))=1,"خیر",IF(SUMPRODUCT(($B$2:B272=B272)*($C$2:C272=C272)*($D$2:D272=D272)*($E$2:E272=E272)*($F$2:F272=F272)*($G$2:G272=G272)*($H$2:H272=H272)*($I$2:I272=I272)*($J$2:J272=J272)*($K$2:K272=K272)*($N$2:N272=N272))=1,"بله-1","بله")))</f>
        <v>خیر</v>
      </c>
      <c r="P272" s="5" t="str" cm="1">
        <f t="array" ref="P272">IF(A272="","",IF(SUMPRODUCT(($F$2:$F$969=F272)*($I$2:$I$969=I272))=1,"خیر",IF(SUMPRODUCT(($F$2:F272=F272)*($I$2:I272=I272))=1,"بله-1","بله")))</f>
        <v>خیر</v>
      </c>
    </row>
    <row r="273" spans="1:16" ht="18.75" x14ac:dyDescent="0.25">
      <c r="A273" s="2">
        <v>210021468</v>
      </c>
      <c r="B273" s="2" t="s">
        <v>1950</v>
      </c>
      <c r="C273" s="2" t="s">
        <v>1951</v>
      </c>
      <c r="D273" s="2" t="s">
        <v>42</v>
      </c>
      <c r="E273" s="2" t="s">
        <v>1042</v>
      </c>
      <c r="F273" s="2" t="s">
        <v>1376</v>
      </c>
      <c r="G273" s="2" t="s">
        <v>1377</v>
      </c>
      <c r="H273" s="2" t="s">
        <v>1378</v>
      </c>
      <c r="I273" s="2" t="s">
        <v>1379</v>
      </c>
      <c r="J273" s="2" t="s">
        <v>1003</v>
      </c>
      <c r="K273" s="2" t="s">
        <v>1380</v>
      </c>
      <c r="L273" s="3">
        <f>IF(OR(TRIM(I273)="",TRIM(K273)=""),"",IFERROR((VALUE(LEFT(TRIM(I273),4))-VALUE(LEFT(TRIM(K273),4)))*12+VALUE(MID(TRIM(I273),6,2))-VALUE(MID(TRIM(K273),6,2)),""))</f>
        <v>25</v>
      </c>
      <c r="M273" s="2" t="str">
        <f>IF(TRIM(H273)="","",IFERROR(LOOKUP(2,1/(ISNUMBER(SEARCH('منطق دسته‌بندی'!$A$2:$A$187,H273))),'منطق دسته‌بندی'!$B$2:$B$187),"سایر (نیازمند بررسی دستی)"))</f>
        <v>نشتی - مقسم آب (تعمیر/آب‌بندی)</v>
      </c>
      <c r="N273" s="2" t="s">
        <v>1381</v>
      </c>
      <c r="O273" s="2" t="str" cm="1">
        <f t="array" ref="O273">IF(A273="","",IF(SUMPRODUCT(($B$2:$B$965=B273)*($C$2:$C$965=C273)*($D$2:$D$965=D273)*($E$2:$E$965=E273)*($F$2:$F$965=F273)*($G$2:$G$965=G273)*($H$2:$H$965=H273)*($I$2:$I$965=I273)*($J$2:$J$965=J273)*($K$2:$K$965=K273)*($N$2:$N$965=N273))=1,"خیر",IF(SUMPRODUCT(($B$2:B273=B273)*($C$2:C273=C273)*($D$2:D273=D273)*($E$2:E273=E273)*($F$2:F273=F273)*($G$2:G273=G273)*($H$2:H273=H273)*($I$2:I273=I273)*($J$2:J273=J273)*($K$2:K273=K273)*($N$2:N273=N273))=1,"بله-1","بله")))</f>
        <v>خیر</v>
      </c>
      <c r="P273" s="5" t="str" cm="1">
        <f t="array" ref="P273">IF(A273="","",IF(SUMPRODUCT(($F$2:$F$969=F273)*($I$2:$I$969=I273))=1,"خیر",IF(SUMPRODUCT(($F$2:F273=F273)*($I$2:I273=I273))=1,"بله-1","بله")))</f>
        <v>خیر</v>
      </c>
    </row>
    <row r="274" spans="1:16" ht="18.75" x14ac:dyDescent="0.25">
      <c r="A274" s="2" t="s">
        <v>1000</v>
      </c>
      <c r="B274" s="2" t="s">
        <v>881</v>
      </c>
      <c r="C274" s="2" t="s">
        <v>882</v>
      </c>
      <c r="D274" s="2" t="s">
        <v>42</v>
      </c>
      <c r="E274" s="2" t="s">
        <v>51</v>
      </c>
      <c r="F274" s="2" t="s">
        <v>1001</v>
      </c>
      <c r="G274" s="2" t="s">
        <v>257</v>
      </c>
      <c r="H274" s="2" t="s">
        <v>544</v>
      </c>
      <c r="I274" s="2" t="s">
        <v>1002</v>
      </c>
      <c r="J274" s="2" t="s">
        <v>1003</v>
      </c>
      <c r="K274" s="2" t="s">
        <v>1004</v>
      </c>
      <c r="L274" s="3">
        <f>IF(OR(TRIM(I274)="",TRIM(K274)=""),"",IFERROR((VALUE(LEFT(TRIM(I274),4))-VALUE(LEFT(TRIM(K274),4)))*12+VALUE(MID(TRIM(I274),6,2))-VALUE(MID(TRIM(K274),6,2)),""))</f>
        <v>23</v>
      </c>
      <c r="M274" s="2" t="str">
        <f>IF(TRIM(H274)="","",IFERROR(LOOKUP(2,1/(ISNUMBER(SEARCH('منطق دسته‌بندی'!$A$2:$A$187,H274))),'منطق دسته‌بندی'!$B$2:$B$187),"سایر (نیازمند بررسی دستی)"))</f>
        <v>نشتی - پمپ تخلیه (تعمیر/آب‌بندی)</v>
      </c>
      <c r="N274" s="2" t="s">
        <v>2025</v>
      </c>
      <c r="O274" s="2" t="str" cm="1">
        <f t="array" ref="O274">IF(A274="","",IF(SUMPRODUCT(($B$2:$B$965=B274)*($C$2:$C$965=C274)*($D$2:$D$965=D274)*($E$2:$E$965=E274)*($F$2:$F$965=F274)*($G$2:$G$965=G274)*($H$2:$H$965=H274)*($I$2:$I$965=I274)*($J$2:$J$965=J274)*($K$2:$K$965=K274)*($N$2:$N$965=N274))=1,"خیر",IF(SUMPRODUCT(($B$2:B274=B274)*($C$2:C274=C274)*($D$2:D274=D274)*($E$2:E274=E274)*($F$2:F274=F274)*($G$2:G274=G274)*($H$2:H274=H274)*($I$2:I274=I274)*($J$2:J274=J274)*($K$2:K274=K274)*($N$2:N274=N274))=1,"بله-1","بله")))</f>
        <v>خیر</v>
      </c>
      <c r="P274" s="5" t="str" cm="1">
        <f t="array" ref="P274">IF(A274="","",IF(SUMPRODUCT(($F$2:$F$969=F274)*($I$2:$I$969=I274))=1,"خیر",IF(SUMPRODUCT(($F$2:F274=F274)*($I$2:I274=I274))=1,"بله-1","بله")))</f>
        <v>خیر</v>
      </c>
    </row>
    <row r="275" spans="1:16" ht="37.5" x14ac:dyDescent="0.25">
      <c r="A275" s="2" t="s">
        <v>295</v>
      </c>
      <c r="B275" s="2" t="s">
        <v>16</v>
      </c>
      <c r="C275" s="2" t="s">
        <v>17</v>
      </c>
      <c r="D275" s="2" t="s">
        <v>42</v>
      </c>
      <c r="E275" s="2" t="s">
        <v>51</v>
      </c>
      <c r="F275" s="2" t="s">
        <v>296</v>
      </c>
      <c r="G275" s="2" t="s">
        <v>67</v>
      </c>
      <c r="H275" s="2" t="s">
        <v>68</v>
      </c>
      <c r="I275" s="2" t="s">
        <v>276</v>
      </c>
      <c r="J275" s="2" t="s">
        <v>297</v>
      </c>
      <c r="K275" s="2" t="s">
        <v>298</v>
      </c>
      <c r="L275" s="3">
        <f>IF(OR(TRIM(I275)="",TRIM(K275)=""),"",IFERROR((VALUE(LEFT(TRIM(I275),4))-VALUE(LEFT(TRIM(K275),4)))*12+VALUE(MID(TRIM(I275),6,2))-VALUE(MID(TRIM(K275),6,2)),""))</f>
        <v>1</v>
      </c>
      <c r="M275" s="2" t="str">
        <f>IF(TRIM(H275)="","",IFERROR(LOOKUP(2,1/(ISNUMBER(SEARCH('منطق دسته‌بندی'!$A$2:$A$187,H275))),'منطق دسته‌بندی'!$B$2:$B$187),"سایر (نیازمند بررسی دستی)"))</f>
        <v>مکانیزم درب - میکروسوئیچ/قلاب (تعویض/تنظیم)</v>
      </c>
      <c r="N275" s="2" t="s">
        <v>71</v>
      </c>
      <c r="O275" s="2" t="str" cm="1">
        <f t="array" ref="O275">IF(A275="","",IF(SUMPRODUCT(($B$2:$B$965=B275)*($C$2:$C$965=C275)*($D$2:$D$965=D275)*($E$2:$E$965=E275)*($F$2:$F$965=F275)*($G$2:$G$965=G275)*($H$2:$H$965=H275)*($I$2:$I$965=I275)*($J$2:$J$965=J275)*($K$2:$K$965=K275)*($N$2:$N$965=N275))=1,"خیر",IF(SUMPRODUCT(($B$2:B275=B275)*($C$2:C275=C275)*($D$2:D275=D275)*($E$2:E275=E275)*($F$2:F275=F275)*($G$2:G275=G275)*($H$2:H275=H275)*($I$2:I275=I275)*($J$2:J275=J275)*($K$2:K275=K275)*($N$2:N275=N275))=1,"بله-1","بله")))</f>
        <v>خیر</v>
      </c>
      <c r="P275" s="5" t="str" cm="1">
        <f t="array" ref="P275">IF(A275="","",IF(SUMPRODUCT(($F$2:$F$969=F275)*($I$2:$I$969=I275))=1,"خیر",IF(SUMPRODUCT(($F$2:F275=F275)*($I$2:I275=I275))=1,"بله-1","بله")))</f>
        <v>خیر</v>
      </c>
    </row>
    <row r="276" spans="1:16" ht="18.75" x14ac:dyDescent="0.25">
      <c r="A276" s="2" t="s">
        <v>662</v>
      </c>
      <c r="B276" s="2" t="s">
        <v>632</v>
      </c>
      <c r="C276" s="2" t="s">
        <v>633</v>
      </c>
      <c r="D276" s="2" t="s">
        <v>42</v>
      </c>
      <c r="E276" s="2" t="s">
        <v>51</v>
      </c>
      <c r="F276" s="2" t="s">
        <v>663</v>
      </c>
      <c r="G276" s="2" t="s">
        <v>78</v>
      </c>
      <c r="H276" s="2" t="s">
        <v>503</v>
      </c>
      <c r="I276" s="2" t="s">
        <v>660</v>
      </c>
      <c r="J276" s="2" t="s">
        <v>664</v>
      </c>
      <c r="K276" s="2" t="s">
        <v>665</v>
      </c>
      <c r="L276" s="3">
        <f>IF(OR(TRIM(I276)="",TRIM(K276)=""),"",IFERROR((VALUE(LEFT(TRIM(I276),4))-VALUE(LEFT(TRIM(K276),4)))*12+VALUE(MID(TRIM(I276),6,2))-VALUE(MID(TRIM(K276),6,2)),""))</f>
        <v>4</v>
      </c>
      <c r="M276" s="2" t="str">
        <f>IF(TRIM(H276)="","",IFERROR(LOOKUP(2,1/(ISNUMBER(SEARCH('منطق دسته‌بندی'!$A$2:$A$187,H276))),'منطق دسته‌بندی'!$B$2:$B$187),"سایر (نیازمند بررسی دستی)"))</f>
        <v>نشتی - شیلنگ (تعمیر/آب‌بندی)</v>
      </c>
      <c r="N276" s="2" t="s">
        <v>24</v>
      </c>
      <c r="O276" s="2" t="str" cm="1">
        <f t="array" ref="O276">IF(A276="","",IF(SUMPRODUCT(($B$2:$B$965=B276)*($C$2:$C$965=C276)*($D$2:$D$965=D276)*($E$2:$E$965=E276)*($F$2:$F$965=F276)*($G$2:$G$965=G276)*($H$2:$H$965=H276)*($I$2:$I$965=I276)*($J$2:$J$965=J276)*($K$2:$K$965=K276)*($N$2:$N$965=N276))=1,"خیر",IF(SUMPRODUCT(($B$2:B276=B276)*($C$2:C276=C276)*($D$2:D276=D276)*($E$2:E276=E276)*($F$2:F276=F276)*($G$2:G276=G276)*($H$2:H276=H276)*($I$2:I276=I276)*($J$2:J276=J276)*($K$2:K276=K276)*($N$2:N276=N276))=1,"بله-1","بله")))</f>
        <v>خیر</v>
      </c>
      <c r="P276" s="5" t="str" cm="1">
        <f t="array" ref="P276">IF(A276="","",IF(SUMPRODUCT(($F$2:$F$969=F276)*($I$2:$I$969=I276))=1,"خیر",IF(SUMPRODUCT(($F$2:F276=F276)*($I$2:I276=I276))=1,"بله-1","بله")))</f>
        <v>خیر</v>
      </c>
    </row>
    <row r="277" spans="1:16" ht="37.5" x14ac:dyDescent="0.25">
      <c r="A277" s="2" t="s">
        <v>65</v>
      </c>
      <c r="B277" s="2" t="s">
        <v>16</v>
      </c>
      <c r="C277" s="2" t="s">
        <v>17</v>
      </c>
      <c r="D277" s="2" t="s">
        <v>42</v>
      </c>
      <c r="E277" s="2" t="s">
        <v>51</v>
      </c>
      <c r="F277" s="2" t="s">
        <v>66</v>
      </c>
      <c r="G277" s="2" t="s">
        <v>67</v>
      </c>
      <c r="H277" s="2" t="s">
        <v>68</v>
      </c>
      <c r="I277" s="2" t="s">
        <v>47</v>
      </c>
      <c r="J277" s="2" t="s">
        <v>69</v>
      </c>
      <c r="K277" s="2" t="s">
        <v>70</v>
      </c>
      <c r="L277" s="3">
        <f>IF(OR(TRIM(I277)="",TRIM(K277)=""),"",IFERROR((VALUE(LEFT(TRIM(I277),4))-VALUE(LEFT(TRIM(K277),4)))*12+VALUE(MID(TRIM(I277),6,2))-VALUE(MID(TRIM(K277),6,2)),""))</f>
        <v>0</v>
      </c>
      <c r="M277" s="2" t="str">
        <f>IF(TRIM(H277)="","",IFERROR(LOOKUP(2,1/(ISNUMBER(SEARCH('منطق دسته‌بندی'!$A$2:$A$187,H277))),'منطق دسته‌بندی'!$B$2:$B$187),"سایر (نیازمند بررسی دستی)"))</f>
        <v>مکانیزم درب - میکروسوئیچ/قلاب (تعویض/تنظیم)</v>
      </c>
      <c r="N277" s="2" t="s">
        <v>71</v>
      </c>
      <c r="O277" s="2" t="str" cm="1">
        <f t="array" ref="O277">IF(A277="","",IF(SUMPRODUCT(($B$2:$B$965=B277)*($C$2:$C$965=C277)*($D$2:$D$965=D277)*($E$2:$E$965=E277)*($F$2:$F$965=F277)*($G$2:$G$965=G277)*($H$2:$H$965=H277)*($I$2:$I$965=I277)*($J$2:$J$965=J277)*($K$2:$K$965=K277)*($N$2:$N$965=N277))=1,"خیر",IF(SUMPRODUCT(($B$2:B277=B277)*($C$2:C277=C277)*($D$2:D277=D277)*($E$2:E277=E277)*($F$2:F277=F277)*($G$2:G277=G277)*($H$2:H277=H277)*($I$2:I277=I277)*($J$2:J277=J277)*($K$2:K277=K277)*($N$2:N277=N277))=1,"بله-1","بله")))</f>
        <v>خیر</v>
      </c>
      <c r="P277" s="5" t="str" cm="1">
        <f t="array" ref="P277">IF(A277="","",IF(SUMPRODUCT(($F$2:$F$969=F277)*($I$2:$I$969=I277))=1,"خیر",IF(SUMPRODUCT(($F$2:F277=F277)*($I$2:I277=I277))=1,"بله-1","بله")))</f>
        <v>خیر</v>
      </c>
    </row>
    <row r="278" spans="1:16" ht="37.5" x14ac:dyDescent="0.25">
      <c r="A278" s="2" t="s">
        <v>429</v>
      </c>
      <c r="B278" s="2" t="s">
        <v>16</v>
      </c>
      <c r="C278" s="2" t="s">
        <v>17</v>
      </c>
      <c r="D278" s="2" t="s">
        <v>42</v>
      </c>
      <c r="E278" s="2" t="s">
        <v>51</v>
      </c>
      <c r="F278" s="2" t="s">
        <v>430</v>
      </c>
      <c r="G278" s="2" t="s">
        <v>67</v>
      </c>
      <c r="H278" s="2" t="s">
        <v>68</v>
      </c>
      <c r="I278" s="2" t="s">
        <v>415</v>
      </c>
      <c r="J278" s="2" t="s">
        <v>69</v>
      </c>
      <c r="K278" s="2" t="s">
        <v>364</v>
      </c>
      <c r="L278" s="3">
        <f>IF(OR(TRIM(I278)="",TRIM(K278)=""),"",IFERROR((VALUE(LEFT(TRIM(I278),4))-VALUE(LEFT(TRIM(K278),4)))*12+VALUE(MID(TRIM(I278),6,2))-VALUE(MID(TRIM(K278),6,2)),""))</f>
        <v>0</v>
      </c>
      <c r="M278" s="2" t="str">
        <f>IF(TRIM(H278)="","",IFERROR(LOOKUP(2,1/(ISNUMBER(SEARCH('منطق دسته‌بندی'!$A$2:$A$187,H278))),'منطق دسته‌بندی'!$B$2:$B$187),"سایر (نیازمند بررسی دستی)"))</f>
        <v>مکانیزم درب - میکروسوئیچ/قلاب (تعویض/تنظیم)</v>
      </c>
      <c r="N278" s="2" t="s">
        <v>71</v>
      </c>
      <c r="O278" s="2" t="str" cm="1">
        <f t="array" ref="O278">IF(A278="","",IF(SUMPRODUCT(($B$2:$B$965=B278)*($C$2:$C$965=C278)*($D$2:$D$965=D278)*($E$2:$E$965=E278)*($F$2:$F$965=F278)*($G$2:$G$965=G278)*($H$2:$H$965=H278)*($I$2:$I$965=I278)*($J$2:$J$965=J278)*($K$2:$K$965=K278)*($N$2:$N$965=N278))=1,"خیر",IF(SUMPRODUCT(($B$2:B278=B278)*($C$2:C278=C278)*($D$2:D278=D278)*($E$2:E278=E278)*($F$2:F278=F278)*($G$2:G278=G278)*($H$2:H278=H278)*($I$2:I278=I278)*($J$2:J278=J278)*($K$2:K278=K278)*($N$2:N278=N278))=1,"بله-1","بله")))</f>
        <v>خیر</v>
      </c>
      <c r="P278" s="5" t="str" cm="1">
        <f t="array" ref="P278">IF(A278="","",IF(SUMPRODUCT(($F$2:$F$969=F278)*($I$2:$I$969=I278))=1,"خیر",IF(SUMPRODUCT(($F$2:F278=F278)*($I$2:I278=I278))=1,"بله-1","بله")))</f>
        <v>خیر</v>
      </c>
    </row>
    <row r="279" spans="1:16" ht="37.5" x14ac:dyDescent="0.25">
      <c r="A279" s="2">
        <v>210020377</v>
      </c>
      <c r="B279" s="2" t="s">
        <v>1040</v>
      </c>
      <c r="C279" s="2" t="s">
        <v>1041</v>
      </c>
      <c r="D279" s="2" t="s">
        <v>42</v>
      </c>
      <c r="E279" s="2" t="s">
        <v>1312</v>
      </c>
      <c r="F279" s="2" t="s">
        <v>1652</v>
      </c>
      <c r="G279" s="2" t="s">
        <v>1436</v>
      </c>
      <c r="H279" s="2" t="s">
        <v>1439</v>
      </c>
      <c r="I279" s="2" t="s">
        <v>1440</v>
      </c>
      <c r="J279" s="2" t="s">
        <v>69</v>
      </c>
      <c r="K279" s="2" t="s">
        <v>980</v>
      </c>
      <c r="L279" s="3">
        <f>IF(OR(TRIM(I279)="",TRIM(K279)=""),"",IFERROR((VALUE(LEFT(TRIM(I279),4))-VALUE(LEFT(TRIM(K279),4)))*12+VALUE(MID(TRIM(I279),6,2))-VALUE(MID(TRIM(K279),6,2)),""))</f>
        <v>2</v>
      </c>
      <c r="M279" s="2" t="str">
        <f>IF(TRIM(H279)="","",IFERROR(LOOKUP(2,1/(ISNUMBER(SEARCH('منطق دسته‌بندی'!$A$2:$A$187,H279))),'منطق دسته‌بندی'!$B$2:$B$187),"سایر (نیازمند بررسی دستی)"))</f>
        <v>مکانیزم درب - میکروسوئیچ/قلاب (تعویض/تنظیم)</v>
      </c>
      <c r="N279" s="2" t="s">
        <v>1443</v>
      </c>
      <c r="O279" s="2" t="str" cm="1">
        <f t="array" ref="O279">IF(A279="","",IF(SUMPRODUCT(($B$2:$B$965=B279)*($C$2:$C$965=C279)*($D$2:$D$965=D279)*($E$2:$E$965=E279)*($F$2:$F$965=F279)*($G$2:$G$965=G279)*($H$2:$H$965=H279)*($I$2:$I$965=I279)*($J$2:$J$965=J279)*($K$2:$K$965=K279)*($N$2:$N$965=N279))=1,"خیر",IF(SUMPRODUCT(($B$2:B279=B279)*($C$2:C279=C279)*($D$2:D279=D279)*($E$2:E279=E279)*($F$2:F279=F279)*($G$2:G279=G279)*($H$2:H279=H279)*($I$2:I279=I279)*($J$2:J279=J279)*($K$2:K279=K279)*($N$2:N279=N279))=1,"بله-1","بله")))</f>
        <v>خیر</v>
      </c>
      <c r="P279" s="5" t="str" cm="1">
        <f t="array" ref="P279">IF(A279="","",IF(SUMPRODUCT(($F$2:$F$969=F279)*($I$2:$I$969=I279))=1,"خیر",IF(SUMPRODUCT(($F$2:F279=F279)*($I$2:I279=I279))=1,"بله-1","بله")))</f>
        <v>خیر</v>
      </c>
    </row>
    <row r="280" spans="1:16" ht="37.5" x14ac:dyDescent="0.25">
      <c r="A280" s="2">
        <v>210026320</v>
      </c>
      <c r="B280" s="2" t="s">
        <v>1950</v>
      </c>
      <c r="C280" s="2" t="s">
        <v>1951</v>
      </c>
      <c r="D280" s="2" t="s">
        <v>2019</v>
      </c>
      <c r="E280" s="2" t="s">
        <v>51</v>
      </c>
      <c r="F280" s="2" t="s">
        <v>1958</v>
      </c>
      <c r="G280" s="2" t="s">
        <v>1436</v>
      </c>
      <c r="H280" s="2" t="s">
        <v>68</v>
      </c>
      <c r="I280" s="2" t="s">
        <v>1998</v>
      </c>
      <c r="J280" s="2" t="s">
        <v>69</v>
      </c>
      <c r="K280" s="2" t="s">
        <v>47</v>
      </c>
      <c r="L280" s="3">
        <f>IF(OR(TRIM(I280)="",TRIM(K280)=""),"",IFERROR((VALUE(LEFT(TRIM(I280),4))-VALUE(LEFT(TRIM(K280),4)))*12+VALUE(MID(TRIM(I280),6,2))-VALUE(MID(TRIM(K280),6,2)),""))</f>
        <v>5</v>
      </c>
      <c r="M280" s="2" t="str">
        <f>IF(OR(ISNUMBER(SEARCH("بدون مورد",H280)),ISNUMBER(SEARCH("غير گارانتي",H280)),ISNUMBER(SEARCH("غیر گارانتی",H280)),ISNUMBER(SEARCH("بدون اجرت",H280)),ISNUMBER(SEARCH("فيلتر",H280)),ISNUMBER(SEARCH("فیلتر",H280))),"غیرگارانتی/بدون قطعه",IF(OR(ISNUMBER(SEARCH("ريست",H280)),ISNUMBER(SEARCH("ریست",H280))),"ریست نرم‌افزاری (بدون قطعه)",IF(OR(ISNUMBER(SEARCH("تعویض محصول",H280)),ISNUMBER(SEARCH("تعویض دستگاه",H280))),"تعویض کامل دستگاه (Replacement)",IF(ISNUMBER(SEARCH("پمپ",H280)),IF(ISNUMBER(SEARCH("نشت",H280)),"نشتی - پمپ تخلیه (تعمیر/آب‌بندی)","خرابی - پمپ تخلیه (تعویض)"),IF(ISNUMBER(SEARCH("کمپرسور",H280)),"خرابی - کمپرسور (تعویض)",IF(ISNUMBER(SEARCH("کمک فنر",H280)),"خرابی - کمک فنر (تعویض)",IF(ISNUMBER(SEARCH("لولا",H280)),"مکانیزم درب - لولا (تعویض)",IF(OR(ISNUMBER(SEARCH("قلاب",H280)),ISNUMBER(SEARCH("ميکروسوئيچ",H280)),ISNUMBER(SEARCH("میکروسوئیچ",H280))),"مکانیزم درب - میکروسوئیچ/قلاب (تعویض/تنظیم)",IF(ISNUMBER(SEARCH("زبانه",H280)),"مکانیزم درب - زبانه (تعویض)",IF(OR(ISNUMBER(SEARCH("شيلنگ",H280)),ISNUMBER(SEARCH("شیلنگ",H280))),IF(OR(ISNUMBER(SEARCH("نشتی",H280)),ISNUMBER(SEARCH("نشتي",H280))),"نشتی - شیلنگ (تعمیر/آب‌بندی)",IF(OR(ISNUMBER(SEARCH("يخ",H280)),ISNUMBER(SEARCH("یخ",H280))),"شیلنگ یخساز - یخ‌زدگی (بازبینی)","شیلنگ - برخورد/لهیدگی (بازبینی)")),IF(OR(ISNUMBER(SEARCH("تنظيم ديسپل",H280)),ISNUMBER(SEARCH("تنظیم دیسپل",H280)),ISNUMBER(SEARCH("تنظيم صفحه نمايش",H280)),ISNUMBER(SEARCH("تنظیم صفحه نمایش",H280))),"تنظیم - تنظیمات دستگاه/دیسپلی (تعمیر)",IF(OR(ISNUMBER(SEARCH("برد",H280)),ISNUMBER(SEARCH("سوکت",H280)),ISNUMBER(SEARCH("ديسپل",H280)),ISNUMBER(SEARCH("دیسپل",H280))),"خرابی - برد الکترونیک (تعویض)",IF(OR(ISNUMBER(SEARCH("يخساز",H280)),ISNUMBER(SEARCH("یخساز",H280)),ISNUMBER(SEARCH("دمپر",H280))),IF(OR(ISNUMBER(SEARCH("خرابی",H280)),ISNUMBER(SEARCH("خراب",H280)),ISNUMBER(SEARCH("عدم کارکرد",H280)),ISNUMBER(SEARCH("عدم عملکرد",H280))),"یخساز - خرابی موتور/سنسور/برد (تعویض)","یخساز - تنظیم/عایق (تعمیر)"),IF(OR(ISNUMBER(SEARCH("لاستيک",H280)),ISNUMBER(SEARCH("لاستیک",H280))),"لاستیک درزگیر - دفرمگی/پارگی (تعویض)",IF(OR(ISNUMBER(SEARCH("گسکت",H280)),ISNUMBER(SEARCH("گسگت",H280))),"لاستیک درزگیر - دفرمگی/پارگی (تعویض)",IF(ISNUMBER(SEARCH("مخزن نمک",H280)),"نشتی - درب مخزن نمک (تعمیر/آب‌بندی)",IF(ISNUMBER(SEARCH("براکت",H280)),"نشتی - براکت ریل (تعمیر/آب‌بندی)",IF(ISNUMBER(SEARCH("جاپودر",H280)),"نشتی - جاپودری (تعمیر/آب‌بندی)",IF(ISNUMBER(SEARCH("مقسم",H280)),"نشتی - مقسم آب (تعمیر/آب‌بندی)",IF(OR(ISNUMBER(SEARCH("سنسور دما",H280)),ISNUMBER(SEARCH("ترموستات",H280))),"خرابی - ترموستات (تعویض)",IF(OR(ISNUMBER(SEARCH("هيدروستات",H280)),ISNUMBER(SEARCH("هیدروستات",H280))),"خرابی - هیدروستات (تعویض)",IF(OR(ISNUMBER(SEARCH("بلبرينگ",H280)),ISNUMBER(SEARCH("بلبرینگ",H280))),"خرابی - بلبرینگ (تعویض)",IF(OR(ISNUMBER(SEARCH("شيربرق",H280)),ISNUMBER(SEARCH("شیربرق",H280))),"خرابی - شیربرقی (تعویض)",IF(OR(ISNUMBER(SEARCH("واتر جت",H280)),ISNUMBER(SEARCH("واترجت",H280))),"خرابی - واترجت (تعویض)",IF(OR(ISNUMBER(SEARCH("سيم",H280)),ISNUMBER(SEARCH("سیم",H280)),ISNUMBER(SEARCH("اتصال",H280))),"سیم‌کشی/اتصالات (تعویض/بازبینی)",IF(OR(ISNUMBER(SEARCH("تصوير",H280)),ISNUMBER(SEARCH("تصویر",H280))),"برد نمایش تلویزیون (تعویض)",IF(OR(ISNUMBER(SEARCH("ريموت",H280)),ISNUMBER(SEARCH("ریموت",H280))),"ریموت کنترل (تعویض/تعمیر)",IF(OR(ISNUMBER(SEARCH("ال اي دي",H280)),ISNUMBER(SEARCH("ال ای دی",H280)),ISNUMBER(SEARCH("LED",H280))),"خرابی - لامپ/LED داخلی (تعویض)",IF(ISNUMBER(SEARCH("زنگ زدگ",H280)),"زنگ‌زدگی بدنه/قطعه (تعویض)",IF(OR(ISNUMBER(SEARCH("قطعات تزئين",H280)),ISNUMBER(SEARCH("قطعات تزئین",H280))),"قطعات تزئینی - شکستگی/کسری (تعویض)",IF(ISNUMBER(SEARCH("سبد",H280)),"سبد ظرفشویی - شکستگی (تعویض)",IF(ISNUMBER(SEARCH("تاب درام",H280)),"خرابی - تاب برداشتن درام (تعویض)",IF(ISNUMBER(SEARCH("درام",H280)),"خرابی - سایر ایراد درام (تعویض)",IF(ISNUMBER(SEARCH("موتور",H280)),"خرابی - موتور (تعویض)",IF(ISNUMBER(SEARCH("تسمه",H280)),"خرابی - تسمه (تعویض)",IF(OR(ISNUMBER(SEARCH("پيچ ولوم",H280)),ISNUMBER(SEARCH("پیچ ولوم",H280))),"تنظیم - پیچ ولوم/دکمه (تعمیر)",IF(OR(ISNUMBER(SEARCH("کسري قطعات",H280)),ISNUMBER(SEARCH("کسری قطعات",H280))),"کسری قطعات تزئینی (تعویض)",IF(ISNUMBER(SEARCH("پرچ",H280)),"پرچ/بدنه کابین(تعمیر)",IF(OR(ISNUMBER(SEARCH("نشت",H280)),ISNUMBER(SEARCH("آبريزش",H280)),ISNUMBER(SEARCH("آبریزش",H280))),"نشتی آب - محل نامشخص (نیازمند بازدید)",IF(ISNUMBER(SEARCH("درب",H280)),"سایر اجزای درب (بازبینی)",IF(ISNUMBER(SEARCH("ضربه",H280)),"بدنه/کابین - ضربه (بازبینی/تعویض پنل)",IF(ISNUMBER(SEARCH("تراز",H280)),"تراز/لرزش - نصب (رگلاژ پایه)",IF(OR(ISNUMBER(SEARCH("تعویض",H280)),ISNUMBER(SEARCH("تعويض",H280))),"تعویض کامل دستگاه (Replacement)","سایر (نیازمند بررسی دستی)")))))))))))))))))))))))))))))))))))))))))))</f>
        <v>مکانیزم درب - میکروسوئیچ/قلاب (تعویض/تنظیم)</v>
      </c>
      <c r="N280" s="2" t="s">
        <v>1443</v>
      </c>
      <c r="O280" s="2" t="str" cm="1">
        <f t="array" ref="O280">IF(A280="","",IF(SUMPRODUCT(($B$2:$B$965=B280)*($C$2:$C$965=C280)*($D$2:$D$965=D280)*($E$2:$E$965=E280)*($F$2:$F$965=F280)*($G$2:$G$965=G280)*($H$2:$H$965=H280)*($I$2:$I$965=I280)*($J$2:$J$965=J280)*($K$2:$K$965=K280)*($N$2:$N$965=N280))=1,"خیر",IF(SUMPRODUCT(($B$2:B280=B280)*($C$2:C280=C280)*($D$2:D280=D280)*($E$2:E280=E280)*($F$2:F280=F280)*($G$2:G280=G280)*($H$2:H280=H280)*($I$2:I280=I280)*($J$2:J280=J280)*($K$2:K280=K280)*($N$2:N280=N280))=1,"بله-1","بله")))</f>
        <v>خیر</v>
      </c>
      <c r="P280" s="5" t="str" cm="1">
        <f t="array" ref="P280">IF(A280="","",IF(SUMPRODUCT(($F$2:$F$969=F280)*($I$2:$I$969=I280))=1,"خیر",IF(SUMPRODUCT(($F$2:F280=F280)*($I$2:I280=I280))=1,"بله-1","بله")))</f>
        <v>خیر</v>
      </c>
    </row>
    <row r="281" spans="1:16" ht="18.75" x14ac:dyDescent="0.25">
      <c r="A281" s="2" t="s">
        <v>76</v>
      </c>
      <c r="B281" s="2" t="s">
        <v>16</v>
      </c>
      <c r="C281" s="2" t="s">
        <v>17</v>
      </c>
      <c r="D281" s="2" t="s">
        <v>42</v>
      </c>
      <c r="E281" s="2" t="s">
        <v>51</v>
      </c>
      <c r="F281" s="2" t="s">
        <v>77</v>
      </c>
      <c r="G281" s="2" t="s">
        <v>78</v>
      </c>
      <c r="H281" s="2" t="s">
        <v>79</v>
      </c>
      <c r="I281" s="2" t="s">
        <v>47</v>
      </c>
      <c r="J281" s="2" t="s">
        <v>80</v>
      </c>
      <c r="K281" s="2" t="s">
        <v>80</v>
      </c>
      <c r="L281" s="3">
        <f>IF(OR(TRIM(I281)="",TRIM(K281)=""),"",IFERROR((VALUE(LEFT(TRIM(I281),4))-VALUE(LEFT(TRIM(K281),4)))*12+VALUE(MID(TRIM(I281),6,2))-VALUE(MID(TRIM(K281),6,2)),""))</f>
        <v>9</v>
      </c>
      <c r="M281" s="2" t="str">
        <f>IF(TRIM(H281)="","",IFERROR(LOOKUP(2,1/(ISNUMBER(SEARCH('منطق دسته‌بندی'!$A$2:$A$187,H281))),'منطق دسته‌بندی'!$B$2:$B$187),"سایر (نیازمند بررسی دستی)"))</f>
        <v>نشتی - درب مخزن نمک (تعمیر/آب‌بندی)</v>
      </c>
      <c r="N281" s="2" t="s">
        <v>24</v>
      </c>
      <c r="O281" s="2" t="str" cm="1">
        <f t="array" ref="O281">IF(A281="","",IF(SUMPRODUCT(($B$2:$B$965=B281)*($C$2:$C$965=C281)*($D$2:$D$965=D281)*($E$2:$E$965=E281)*($F$2:$F$965=F281)*($G$2:$G$965=G281)*($H$2:$H$965=H281)*($I$2:$I$965=I281)*($J$2:$J$965=J281)*($K$2:$K$965=K281)*($N$2:$N$965=N281))=1,"خیر",IF(SUMPRODUCT(($B$2:B281=B281)*($C$2:C281=C281)*($D$2:D281=D281)*($E$2:E281=E281)*($F$2:F281=F281)*($G$2:G281=G281)*($H$2:H281=H281)*($I$2:I281=I281)*($J$2:J281=J281)*($K$2:K281=K281)*($N$2:N281=N281))=1,"بله-1","بله")))</f>
        <v>خیر</v>
      </c>
      <c r="P281" s="5" t="str" cm="1">
        <f t="array" ref="P281">IF(A281="","",IF(SUMPRODUCT(($F$2:$F$969=F281)*($I$2:$I$969=I281))=1,"خیر",IF(SUMPRODUCT(($F$2:F281=F281)*($I$2:I281=I281))=1,"بله-1","بله")))</f>
        <v>خیر</v>
      </c>
    </row>
    <row r="282" spans="1:16" ht="37.5" x14ac:dyDescent="0.25">
      <c r="A282" s="2" t="s">
        <v>416</v>
      </c>
      <c r="B282" s="2" t="s">
        <v>16</v>
      </c>
      <c r="C282" s="2" t="s">
        <v>17</v>
      </c>
      <c r="D282" s="2" t="s">
        <v>42</v>
      </c>
      <c r="E282" s="2" t="s">
        <v>51</v>
      </c>
      <c r="F282" s="2" t="s">
        <v>417</v>
      </c>
      <c r="G282" s="2" t="s">
        <v>84</v>
      </c>
      <c r="H282" s="2" t="s">
        <v>197</v>
      </c>
      <c r="I282" s="2" t="s">
        <v>415</v>
      </c>
      <c r="J282" s="2" t="s">
        <v>80</v>
      </c>
      <c r="K282" s="2" t="s">
        <v>418</v>
      </c>
      <c r="L282" s="3">
        <f>IF(OR(TRIM(I282)="",TRIM(K282)=""),"",IFERROR((VALUE(LEFT(TRIM(I282),4))-VALUE(LEFT(TRIM(K282),4)))*12+VALUE(MID(TRIM(I282),6,2))-VALUE(MID(TRIM(K282),6,2)),""))</f>
        <v>15</v>
      </c>
      <c r="M282" s="2" t="str">
        <f>IF(TRIM(H282)="","",IFERROR(LOOKUP(2,1/(ISNUMBER(SEARCH('منطق دسته‌بندی'!$A$2:$A$187,H282))),'منطق دسته‌بندی'!$B$2:$B$187),"سایر (نیازمند بررسی دستی)"))</f>
        <v>نشتی آب - محل نامشخص (نیازمند بازدید)</v>
      </c>
      <c r="N282" s="2" t="s">
        <v>24</v>
      </c>
      <c r="O282" s="2" t="str" cm="1">
        <f t="array" ref="O282">IF(A282="","",IF(SUMPRODUCT(($B$2:$B$965=B282)*($C$2:$C$965=C282)*($D$2:$D$965=D282)*($E$2:$E$965=E282)*($F$2:$F$965=F282)*($G$2:$G$965=G282)*($H$2:$H$965=H282)*($I$2:$I$965=I282)*($J$2:$J$965=J282)*($K$2:$K$965=K282)*($N$2:$N$965=N282))=1,"خیر",IF(SUMPRODUCT(($B$2:B282=B282)*($C$2:C282=C282)*($D$2:D282=D282)*($E$2:E282=E282)*($F$2:F282=F282)*($G$2:G282=G282)*($H$2:H282=H282)*($I$2:I282=I282)*($J$2:J282=J282)*($K$2:K282=K282)*($N$2:N282=N282))=1,"بله-1","بله")))</f>
        <v>خیر</v>
      </c>
      <c r="P282" s="5" t="str" cm="1">
        <f t="array" ref="P282">IF(A282="","",IF(SUMPRODUCT(($F$2:$F$969=F282)*($I$2:$I$969=I282))=1,"خیر",IF(SUMPRODUCT(($F$2:F282=F282)*($I$2:I282=I282))=1,"بله-1","بله")))</f>
        <v>خیر</v>
      </c>
    </row>
    <row r="283" spans="1:16" ht="37.5" x14ac:dyDescent="0.25">
      <c r="A283" s="2">
        <v>810006386</v>
      </c>
      <c r="B283" s="2" t="s">
        <v>1950</v>
      </c>
      <c r="C283" s="2" t="s">
        <v>1951</v>
      </c>
      <c r="D283" s="2" t="s">
        <v>42</v>
      </c>
      <c r="E283" s="2" t="s">
        <v>1312</v>
      </c>
      <c r="F283" s="2" t="s">
        <v>1546</v>
      </c>
      <c r="G283" s="2" t="s">
        <v>1438</v>
      </c>
      <c r="H283" s="2" t="s">
        <v>1439</v>
      </c>
      <c r="I283" s="2" t="s">
        <v>1547</v>
      </c>
      <c r="J283" s="2" t="s">
        <v>1070</v>
      </c>
      <c r="K283" s="2" t="s">
        <v>1420</v>
      </c>
      <c r="L283" s="3">
        <f>IF(OR(TRIM(I283)="",TRIM(K283)=""),"",IFERROR((VALUE(LEFT(TRIM(I283),4))-VALUE(LEFT(TRIM(K283),4)))*12+VALUE(MID(TRIM(I283),6,2))-VALUE(MID(TRIM(K283),6,2)),""))</f>
        <v>0</v>
      </c>
      <c r="M283" s="2" t="str">
        <f>IF(TRIM(H283)="","",IFERROR(LOOKUP(2,1/(ISNUMBER(SEARCH('منطق دسته‌بندی'!$A$2:$A$187,H283))),'منطق دسته‌بندی'!$B$2:$B$187),"سایر (نیازمند بررسی دستی)"))</f>
        <v>مکانیزم درب - میکروسوئیچ/قلاب (تعویض/تنظیم)</v>
      </c>
      <c r="N283" s="2" t="s">
        <v>1443</v>
      </c>
      <c r="O283" s="2" t="str" cm="1">
        <f t="array" ref="O283">IF(A283="","",IF(SUMPRODUCT(($B$2:$B$965=B283)*($C$2:$C$965=C283)*($D$2:$D$965=D283)*($E$2:$E$965=E283)*($F$2:$F$965=F283)*($G$2:$G$965=G283)*($H$2:$H$965=H283)*($I$2:$I$965=I283)*($J$2:$J$965=J283)*($K$2:$K$965=K283)*($N$2:$N$965=N283))=1,"خیر",IF(SUMPRODUCT(($B$2:B283=B283)*($C$2:C283=C283)*($D$2:D283=D283)*($E$2:E283=E283)*($F$2:F283=F283)*($G$2:G283=G283)*($H$2:H283=H283)*($I$2:I283=I283)*($J$2:J283=J283)*($K$2:K283=K283)*($N$2:N283=N283))=1,"بله-1","بله")))</f>
        <v>خیر</v>
      </c>
      <c r="P283" s="5" t="str" cm="1">
        <f t="array" ref="P283">IF(A283="","",IF(SUMPRODUCT(($F$2:$F$969=F283)*($I$2:$I$969=I283))=1,"خیر",IF(SUMPRODUCT(($F$2:F283=F283)*($I$2:I283=I283))=1,"بله-1","بله")))</f>
        <v>خیر</v>
      </c>
    </row>
    <row r="284" spans="1:16" ht="18.75" x14ac:dyDescent="0.25">
      <c r="A284" s="2" t="s">
        <v>720</v>
      </c>
      <c r="B284" s="2" t="s">
        <v>632</v>
      </c>
      <c r="C284" s="2" t="s">
        <v>633</v>
      </c>
      <c r="D284" s="2" t="s">
        <v>42</v>
      </c>
      <c r="E284" s="2" t="s">
        <v>51</v>
      </c>
      <c r="F284" s="2" t="s">
        <v>721</v>
      </c>
      <c r="G284" s="2" t="s">
        <v>653</v>
      </c>
      <c r="H284" s="2" t="s">
        <v>348</v>
      </c>
      <c r="I284" s="2" t="s">
        <v>710</v>
      </c>
      <c r="J284" s="2" t="s">
        <v>722</v>
      </c>
      <c r="K284" s="2" t="s">
        <v>723</v>
      </c>
      <c r="L284" s="3">
        <f>IF(OR(TRIM(I284)="",TRIM(K284)=""),"",IFERROR((VALUE(LEFT(TRIM(I284),4))-VALUE(LEFT(TRIM(K284),4)))*12+VALUE(MID(TRIM(I284),6,2))-VALUE(MID(TRIM(K284),6,2)),""))</f>
        <v>12</v>
      </c>
      <c r="M284" s="2" t="str">
        <f>IF(TRIM(H284)="","",IFERROR(LOOKUP(2,1/(ISNUMBER(SEARCH('منطق دسته‌بندی'!$A$2:$A$187,H284))),'منطق دسته‌بندی'!$B$2:$B$187),"سایر (نیازمند بررسی دستی)"))</f>
        <v>نشتی - شیلنگ (تعمیر/آب‌بندی)</v>
      </c>
      <c r="N284" s="2" t="s">
        <v>24</v>
      </c>
      <c r="O284" s="2" t="str" cm="1">
        <f t="array" ref="O284">IF(A284="","",IF(SUMPRODUCT(($B$2:$B$965=B284)*($C$2:$C$965=C284)*($D$2:$D$965=D284)*($E$2:$E$965=E284)*($F$2:$F$965=F284)*($G$2:$G$965=G284)*($H$2:$H$965=H284)*($I$2:$I$965=I284)*($J$2:$J$965=J284)*($K$2:$K$965=K284)*($N$2:$N$965=N284))=1,"خیر",IF(SUMPRODUCT(($B$2:B284=B284)*($C$2:C284=C284)*($D$2:D284=D284)*($E$2:E284=E284)*($F$2:F284=F284)*($G$2:G284=G284)*($H$2:H284=H284)*($I$2:I284=I284)*($J$2:J284=J284)*($K$2:K284=K284)*($N$2:N284=N284))=1,"بله-1","بله")))</f>
        <v>خیر</v>
      </c>
      <c r="P284" s="5" t="str" cm="1">
        <f t="array" ref="P284">IF(A284="","",IF(SUMPRODUCT(($F$2:$F$969=F284)*($I$2:$I$969=I284))=1,"خیر",IF(SUMPRODUCT(($F$2:F284=F284)*($I$2:I284=I284))=1,"بله-1","بله")))</f>
        <v>خیر</v>
      </c>
    </row>
    <row r="285" spans="1:16" ht="37.5" x14ac:dyDescent="0.25">
      <c r="A285" s="2" t="s">
        <v>815</v>
      </c>
      <c r="B285" s="2" t="s">
        <v>632</v>
      </c>
      <c r="C285" s="2" t="s">
        <v>633</v>
      </c>
      <c r="D285" s="2" t="s">
        <v>42</v>
      </c>
      <c r="E285" s="2" t="s">
        <v>51</v>
      </c>
      <c r="F285" s="2" t="s">
        <v>816</v>
      </c>
      <c r="G285" s="2" t="s">
        <v>817</v>
      </c>
      <c r="H285" s="2" t="s">
        <v>2023</v>
      </c>
      <c r="I285" s="2" t="s">
        <v>812</v>
      </c>
      <c r="J285" s="2" t="s">
        <v>818</v>
      </c>
      <c r="K285" s="2" t="s">
        <v>807</v>
      </c>
      <c r="L285" s="3">
        <f>IF(OR(TRIM(I285)="",TRIM(K285)=""),"",IFERROR((VALUE(LEFT(TRIM(I285),4))-VALUE(LEFT(TRIM(K285),4)))*12+VALUE(MID(TRIM(I285),6,2))-VALUE(MID(TRIM(K285),6,2)),""))</f>
        <v>0</v>
      </c>
      <c r="M285" s="2" t="str">
        <f>IF(TRIM(H285)="","",IFERROR(LOOKUP(2,1/(ISNUMBER(SEARCH('منطق دسته‌بندی'!$A$2:$A$187,H285))),'منطق دسته‌بندی'!$B$2:$B$187),"سایر (نیازمند بررسی دستی)"))</f>
        <v>مکانیزم درب - میکروسوئیچ/قلاب (تعویض/تنظیم)</v>
      </c>
      <c r="N285" s="2" t="s">
        <v>71</v>
      </c>
      <c r="O285" s="2" t="str" cm="1">
        <f t="array" ref="O285">IF(A285="","",IF(SUMPRODUCT(($B$2:$B$965=B285)*($C$2:$C$965=C285)*($D$2:$D$965=D285)*($E$2:$E$965=E285)*($F$2:$F$965=F285)*($G$2:$G$965=G285)*($H$2:$H$965=H285)*($I$2:$I$965=I285)*($J$2:$J$965=J285)*($K$2:$K$965=K285)*($N$2:$N$965=N285))=1,"خیر",IF(SUMPRODUCT(($B$2:B285=B285)*($C$2:C285=C285)*($D$2:D285=D285)*($E$2:E285=E285)*($F$2:F285=F285)*($G$2:G285=G285)*($H$2:H285=H285)*($I$2:I285=I285)*($J$2:J285=J285)*($K$2:K285=K285)*($N$2:N285=N285))=1,"بله-1","بله")))</f>
        <v>خیر</v>
      </c>
      <c r="P285" s="5" t="str" cm="1">
        <f t="array" ref="P285">IF(A285="","",IF(SUMPRODUCT(($F$2:$F$969=F285)*($I$2:$I$969=I285))=1,"خیر",IF(SUMPRODUCT(($F$2:F285=F285)*($I$2:I285=I285))=1,"بله-1","بله")))</f>
        <v>خیر</v>
      </c>
    </row>
    <row r="286" spans="1:16" ht="18.75" x14ac:dyDescent="0.25">
      <c r="A286" s="2" t="s">
        <v>401</v>
      </c>
      <c r="B286" s="2" t="s">
        <v>16</v>
      </c>
      <c r="C286" s="2" t="s">
        <v>17</v>
      </c>
      <c r="D286" s="2" t="s">
        <v>42</v>
      </c>
      <c r="E286" s="2" t="s">
        <v>51</v>
      </c>
      <c r="F286" s="2" t="s">
        <v>402</v>
      </c>
      <c r="G286" s="2" t="s">
        <v>403</v>
      </c>
      <c r="H286" s="2" t="s">
        <v>333</v>
      </c>
      <c r="I286" s="2" t="s">
        <v>364</v>
      </c>
      <c r="J286" s="2" t="s">
        <v>404</v>
      </c>
      <c r="K286" s="2" t="s">
        <v>196</v>
      </c>
      <c r="L286" s="3">
        <f>IF(OR(TRIM(I286)="",TRIM(K286)=""),"",IFERROR((VALUE(LEFT(TRIM(I286),4))-VALUE(LEFT(TRIM(K286),4)))*12+VALUE(MID(TRIM(I286),6,2))-VALUE(MID(TRIM(K286),6,2)),""))</f>
        <v>4</v>
      </c>
      <c r="M286" s="2" t="str">
        <f>IF(TRIM(H286)="","",IFERROR(LOOKUP(2,1/(ISNUMBER(SEARCH('منطق دسته‌بندی'!$A$2:$A$187,H286))),'منطق دسته‌بندی'!$B$2:$B$187),"سایر (نیازمند بررسی دستی)"))</f>
        <v>ریست نرم‌افزاری (بدون قطعه)</v>
      </c>
      <c r="N286" s="2" t="s">
        <v>24</v>
      </c>
      <c r="O286" s="2" t="str" cm="1">
        <f t="array" ref="O286">IF(A286="","",IF(SUMPRODUCT(($B$2:$B$965=B286)*($C$2:$C$965=C286)*($D$2:$D$965=D286)*($E$2:$E$965=E286)*($F$2:$F$965=F286)*($G$2:$G$965=G286)*($H$2:$H$965=H286)*($I$2:$I$965=I286)*($J$2:$J$965=J286)*($K$2:$K$965=K286)*($N$2:$N$965=N286))=1,"خیر",IF(SUMPRODUCT(($B$2:B286=B286)*($C$2:C286=C286)*($D$2:D286=D286)*($E$2:E286=E286)*($F$2:F286=F286)*($G$2:G286=G286)*($H$2:H286=H286)*($I$2:I286=I286)*($J$2:J286=J286)*($K$2:K286=K286)*($N$2:N286=N286))=1,"بله-1","بله")))</f>
        <v>خیر</v>
      </c>
      <c r="P286" s="5" t="str" cm="1">
        <f t="array" ref="P286">IF(A286="","",IF(SUMPRODUCT(($F$2:$F$969=F286)*($I$2:$I$969=I286))=1,"خیر",IF(SUMPRODUCT(($F$2:F286=F286)*($I$2:I286=I286))=1,"بله-1","بله")))</f>
        <v>خیر</v>
      </c>
    </row>
    <row r="287" spans="1:16" ht="18.75" x14ac:dyDescent="0.25">
      <c r="A287" s="2">
        <v>210026221</v>
      </c>
      <c r="B287" s="2" t="s">
        <v>1950</v>
      </c>
      <c r="C287" s="2" t="s">
        <v>1951</v>
      </c>
      <c r="D287" s="2" t="s">
        <v>2019</v>
      </c>
      <c r="E287" s="2" t="s">
        <v>51</v>
      </c>
      <c r="F287" s="2" t="s">
        <v>1966</v>
      </c>
      <c r="G287" s="2" t="s">
        <v>1377</v>
      </c>
      <c r="H287" s="18" t="s">
        <v>221</v>
      </c>
      <c r="I287" s="2" t="s">
        <v>1996</v>
      </c>
      <c r="J287" s="2" t="s">
        <v>582</v>
      </c>
      <c r="K287" s="2" t="s">
        <v>2011</v>
      </c>
      <c r="L287" s="3">
        <f>IF(OR(TRIM(I287)="",TRIM(K287)=""),"",IFERROR((VALUE(LEFT(TRIM(I287),4))-VALUE(LEFT(TRIM(K287),4)))*12+VALUE(MID(TRIM(I287),6,2))-VALUE(MID(TRIM(K287),6,2)),""))</f>
        <v>17</v>
      </c>
      <c r="M287" s="2" t="str">
        <f>IF(TRIM(H287)="","",IFERROR(LOOKUP(2,1/(ISNUMBER(SEARCH('منطق دسته‌بندی'!$A$2:$A$187,H287))),'منطق دسته‌بندی'!$B$2:$B$187),"سایر (نیازمند بررسی دستی)"))</f>
        <v>نشتی - پمپ تخلیه (تعمیر/آب‌بندی)</v>
      </c>
      <c r="N287" s="2" t="s">
        <v>2025</v>
      </c>
      <c r="O287" s="2" t="str" cm="1">
        <f t="array" ref="O287">IF(A287="","",IF(SUMPRODUCT(($B$2:$B$965=B287)*($C$2:$C$965=C287)*($D$2:$D$965=D287)*($E$2:$E$965=E287)*($F$2:$F$965=F287)*($G$2:$G$965=G287)*($H$2:$H$965=H287)*($I$2:$I$965=I287)*($J$2:$J$965=J287)*($K$2:$K$965=K287)*($N$2:$N$965=N287))=1,"خیر",IF(SUMPRODUCT(($B$2:B287=B287)*($C$2:C287=C287)*($D$2:D287=D287)*($E$2:E287=E287)*($F$2:F287=F287)*($G$2:G287=G287)*($H$2:H287=H287)*($I$2:I287=I287)*($J$2:J287=J287)*($K$2:K287=K287)*($N$2:N287=N287))=1,"بله-1","بله")))</f>
        <v>خیر</v>
      </c>
      <c r="P287" s="5" t="str" cm="1">
        <f t="array" ref="P287">IF(A287="","",IF(SUMPRODUCT(($F$2:$F$969=F287)*($I$2:$I$969=I287))=1,"خیر",IF(SUMPRODUCT(($F$2:F287=F287)*($I$2:I287=I287))=1,"بله-1","بله")))</f>
        <v>خیر</v>
      </c>
    </row>
    <row r="288" spans="1:16" ht="18.75" x14ac:dyDescent="0.25">
      <c r="A288" s="2" t="s">
        <v>466</v>
      </c>
      <c r="B288" s="2" t="s">
        <v>16</v>
      </c>
      <c r="C288" s="2" t="s">
        <v>17</v>
      </c>
      <c r="D288" s="2" t="s">
        <v>42</v>
      </c>
      <c r="E288" s="2" t="s">
        <v>51</v>
      </c>
      <c r="F288" s="2" t="s">
        <v>467</v>
      </c>
      <c r="G288" s="2" t="s">
        <v>468</v>
      </c>
      <c r="H288" s="2" t="s">
        <v>469</v>
      </c>
      <c r="I288" s="2" t="s">
        <v>435</v>
      </c>
      <c r="J288" s="2" t="s">
        <v>470</v>
      </c>
      <c r="K288" s="2" t="s">
        <v>29</v>
      </c>
      <c r="L288" s="3">
        <f>IF(OR(TRIM(I288)="",TRIM(K288)=""),"",IFERROR((VALUE(LEFT(TRIM(I288),4))-VALUE(LEFT(TRIM(K288),4)))*12+VALUE(MID(TRIM(I288),6,2))-VALUE(MID(TRIM(K288),6,2)),""))</f>
        <v>0</v>
      </c>
      <c r="M288" s="2" t="str">
        <f>IF(TRIM(H288)="","",IFERROR(LOOKUP(2,1/(ISNUMBER(SEARCH('منطق دسته‌بندی'!$A$2:$A$187,H288))),'منطق دسته‌بندی'!$B$2:$B$187),"سایر (نیازمند بررسی دستی)"))</f>
        <v>زنگ‌زدگی بدنه/قطعه (تعویض)</v>
      </c>
      <c r="N288" s="2" t="s">
        <v>469</v>
      </c>
      <c r="O288" s="2" t="str" cm="1">
        <f t="array" ref="O288">IF(A288="","",IF(SUMPRODUCT(($B$2:$B$965=B288)*($C$2:$C$965=C288)*($D$2:$D$965=D288)*($E$2:$E$965=E288)*($F$2:$F$965=F288)*($G$2:$G$965=G288)*($H$2:$H$965=H288)*($I$2:$I$965=I288)*($J$2:$J$965=J288)*($K$2:$K$965=K288)*($N$2:$N$965=N288))=1,"خیر",IF(SUMPRODUCT(($B$2:B288=B288)*($C$2:C288=C288)*($D$2:D288=D288)*($E$2:E288=E288)*($F$2:F288=F288)*($G$2:G288=G288)*($H$2:H288=H288)*($I$2:I288=I288)*($J$2:J288=J288)*($K$2:K288=K288)*($N$2:N288=N288))=1,"بله-1","بله")))</f>
        <v>خیر</v>
      </c>
      <c r="P288" s="5" t="str" cm="1">
        <f t="array" ref="P288">IF(A288="","",IF(SUMPRODUCT(($F$2:$F$969=F288)*($I$2:$I$969=I288))=1,"خیر",IF(SUMPRODUCT(($F$2:F288=F288)*($I$2:I288=I288))=1,"بله-1","بله")))</f>
        <v>خیر</v>
      </c>
    </row>
    <row r="289" spans="1:16" ht="18.75" x14ac:dyDescent="0.25">
      <c r="A289" s="2">
        <v>130010521</v>
      </c>
      <c r="B289" s="2" t="s">
        <v>1950</v>
      </c>
      <c r="C289" s="2" t="s">
        <v>1951</v>
      </c>
      <c r="D289" s="2" t="s">
        <v>42</v>
      </c>
      <c r="E289" s="2" t="s">
        <v>1312</v>
      </c>
      <c r="F289" s="2" t="s">
        <v>1382</v>
      </c>
      <c r="G289" s="2" t="s">
        <v>1383</v>
      </c>
      <c r="H289" s="18" t="s">
        <v>221</v>
      </c>
      <c r="I289" s="2" t="s">
        <v>1384</v>
      </c>
      <c r="J289" s="2" t="s">
        <v>1385</v>
      </c>
      <c r="K289" s="2" t="s">
        <v>110</v>
      </c>
      <c r="L289" s="3">
        <f>IF(OR(TRIM(I289)="",TRIM(K289)=""),"",IFERROR((VALUE(LEFT(TRIM(I289),4))-VALUE(LEFT(TRIM(K289),4)))*12+VALUE(MID(TRIM(I289),6,2))-VALUE(MID(TRIM(K289),6,2)),""))</f>
        <v>18</v>
      </c>
      <c r="M289" s="2" t="str">
        <f>IF(TRIM(H289)="","",IFERROR(LOOKUP(2,1/(ISNUMBER(SEARCH('منطق دسته‌بندی'!$A$2:$A$187,H289))),'منطق دسته‌بندی'!$B$2:$B$187),"سایر (نیازمند بررسی دستی)"))</f>
        <v>نشتی - پمپ تخلیه (تعمیر/آب‌بندی)</v>
      </c>
      <c r="N289" s="2" t="s">
        <v>2025</v>
      </c>
      <c r="O289" s="2" t="str" cm="1">
        <f t="array" ref="O289">IF(A289="","",IF(SUMPRODUCT(($B$2:$B$965=B289)*($C$2:$C$965=C289)*($D$2:$D$965=D289)*($E$2:$E$965=E289)*($F$2:$F$965=F289)*($G$2:$G$965=G289)*($H$2:$H$965=H289)*($I$2:$I$965=I289)*($J$2:$J$965=J289)*($K$2:$K$965=K289)*($N$2:$N$965=N289))=1,"خیر",IF(SUMPRODUCT(($B$2:B289=B289)*($C$2:C289=C289)*($D$2:D289=D289)*($E$2:E289=E289)*($F$2:F289=F289)*($G$2:G289=G289)*($H$2:H289=H289)*($I$2:I289=I289)*($J$2:J289=J289)*($K$2:K289=K289)*($N$2:N289=N289))=1,"بله-1","بله")))</f>
        <v>خیر</v>
      </c>
      <c r="P289" s="5" t="str" cm="1">
        <f t="array" ref="P289">IF(A289="","",IF(SUMPRODUCT(($F$2:$F$969=F289)*($I$2:$I$969=I289))=1,"خیر",IF(SUMPRODUCT(($F$2:F289=F289)*($I$2:I289=I289))=1,"بله-1","بله")))</f>
        <v>خیر</v>
      </c>
    </row>
    <row r="290" spans="1:16" ht="37.5" x14ac:dyDescent="0.25">
      <c r="A290" s="2">
        <v>510024014</v>
      </c>
      <c r="B290" s="2" t="s">
        <v>1040</v>
      </c>
      <c r="C290" s="2" t="s">
        <v>1041</v>
      </c>
      <c r="D290" s="2" t="s">
        <v>42</v>
      </c>
      <c r="E290" s="2" t="s">
        <v>1312</v>
      </c>
      <c r="F290" s="2" t="s">
        <v>1370</v>
      </c>
      <c r="G290" s="2" t="s">
        <v>1371</v>
      </c>
      <c r="H290" s="2" t="s">
        <v>1372</v>
      </c>
      <c r="I290" s="2" t="s">
        <v>1373</v>
      </c>
      <c r="J290" s="2" t="s">
        <v>923</v>
      </c>
      <c r="K290" s="2" t="s">
        <v>1374</v>
      </c>
      <c r="L290" s="3">
        <f>IF(OR(TRIM(I290)="",TRIM(K290)=""),"",IFERROR((VALUE(LEFT(TRIM(I290),4))-VALUE(LEFT(TRIM(K290),4)))*12+VALUE(MID(TRIM(I290),6,2))-VALUE(MID(TRIM(K290),6,2)),""))</f>
        <v>9</v>
      </c>
      <c r="M290" s="2" t="str">
        <f>IF(TRIM(H290)="","",IFERROR(LOOKUP(2,1/(ISNUMBER(SEARCH('منطق دسته‌بندی'!$A$2:$A$187,H290))),'منطق دسته‌بندی'!$B$2:$B$187),"سایر (نیازمند بررسی دستی)"))</f>
        <v>سبد ظرفشویی - شکستگی (تعویض)</v>
      </c>
      <c r="N290" s="2" t="s">
        <v>1375</v>
      </c>
      <c r="O290" s="2" t="str" cm="1">
        <f t="array" ref="O290">IF(A290="","",IF(SUMPRODUCT(($B$2:$B$965=B290)*($C$2:$C$965=C290)*($D$2:$D$965=D290)*($E$2:$E$965=E290)*($F$2:$F$965=F290)*($G$2:$G$965=G290)*($H$2:$H$965=H290)*($I$2:$I$965=I290)*($J$2:$J$965=J290)*($K$2:$K$965=K290)*($N$2:$N$965=N290))=1,"خیر",IF(SUMPRODUCT(($B$2:B290=B290)*($C$2:C290=C290)*($D$2:D290=D290)*($E$2:E290=E290)*($F$2:F290=F290)*($G$2:G290=G290)*($H$2:H290=H290)*($I$2:I290=I290)*($J$2:J290=J290)*($K$2:K290=K290)*($N$2:N290=N290))=1,"بله-1","بله")))</f>
        <v>خیر</v>
      </c>
      <c r="P290" s="5" t="str" cm="1">
        <f t="array" ref="P290">IF(A290="","",IF(SUMPRODUCT(($F$2:$F$969=F290)*($I$2:$I$969=I290))=1,"خیر",IF(SUMPRODUCT(($F$2:F290=F290)*($I$2:I290=I290))=1,"بله-1","بله")))</f>
        <v>خیر</v>
      </c>
    </row>
    <row r="291" spans="1:16" ht="18.75" x14ac:dyDescent="0.25">
      <c r="A291" s="2" t="s">
        <v>1351</v>
      </c>
      <c r="B291" s="2" t="s">
        <v>1040</v>
      </c>
      <c r="C291" s="2" t="s">
        <v>1041</v>
      </c>
      <c r="D291" s="2" t="s">
        <v>42</v>
      </c>
      <c r="E291" s="2" t="s">
        <v>1352</v>
      </c>
      <c r="F291" s="2" t="s">
        <v>1353</v>
      </c>
      <c r="G291" s="2" t="s">
        <v>78</v>
      </c>
      <c r="H291" s="2" t="s">
        <v>503</v>
      </c>
      <c r="I291" s="2" t="s">
        <v>1338</v>
      </c>
      <c r="J291" s="2" t="s">
        <v>664</v>
      </c>
      <c r="K291" s="2" t="s">
        <v>1328</v>
      </c>
      <c r="L291" s="3">
        <f>IF(OR(TRIM(I291)="",TRIM(K291)=""),"",IFERROR((VALUE(LEFT(TRIM(I291),4))-VALUE(LEFT(TRIM(K291),4)))*12+VALUE(MID(TRIM(I291),6,2))-VALUE(MID(TRIM(K291),6,2)),""))</f>
        <v>1</v>
      </c>
      <c r="M291" s="2" t="str">
        <f>IF(TRIM(H291)="","",IFERROR(LOOKUP(2,1/(ISNUMBER(SEARCH('منطق دسته‌بندی'!$A$2:$A$187,H291))),'منطق دسته‌بندی'!$B$2:$B$187),"سایر (نیازمند بررسی دستی)"))</f>
        <v>نشتی - شیلنگ (تعمیر/آب‌بندی)</v>
      </c>
      <c r="N291" s="2" t="s">
        <v>24</v>
      </c>
      <c r="O291" s="2" t="str" cm="1">
        <f t="array" ref="O291">IF(A291="","",IF(SUMPRODUCT(($B$2:$B$965=B291)*($C$2:$C$965=C291)*($D$2:$D$965=D291)*($E$2:$E$965=E291)*($F$2:$F$965=F291)*($G$2:$G$965=G291)*($H$2:$H$965=H291)*($I$2:$I$965=I291)*($J$2:$J$965=J291)*($K$2:$K$965=K291)*($N$2:$N$965=N291))=1,"خیر",IF(SUMPRODUCT(($B$2:B291=B291)*($C$2:C291=C291)*($D$2:D291=D291)*($E$2:E291=E291)*($F$2:F291=F291)*($G$2:G291=G291)*($H$2:H291=H291)*($I$2:I291=I291)*($J$2:J291=J291)*($K$2:K291=K291)*($N$2:N291=N291))=1,"بله-1","بله")))</f>
        <v>خیر</v>
      </c>
      <c r="P291" s="5" t="str" cm="1">
        <f t="array" ref="P291">IF(A291="","",IF(SUMPRODUCT(($F$2:$F$969=F291)*($I$2:$I$969=I291))=1,"خیر",IF(SUMPRODUCT(($F$2:F291=F291)*($I$2:I291=I291))=1,"بله-1","بله")))</f>
        <v>بله-1</v>
      </c>
    </row>
    <row r="292" spans="1:16" ht="18.75" x14ac:dyDescent="0.25">
      <c r="A292" s="2">
        <v>810005539</v>
      </c>
      <c r="B292" s="2" t="s">
        <v>1040</v>
      </c>
      <c r="C292" s="2" t="s">
        <v>1041</v>
      </c>
      <c r="D292" s="2" t="s">
        <v>42</v>
      </c>
      <c r="E292" s="2" t="s">
        <v>1352</v>
      </c>
      <c r="F292" s="2" t="s">
        <v>1353</v>
      </c>
      <c r="G292" s="2" t="s">
        <v>1605</v>
      </c>
      <c r="H292" s="2" t="s">
        <v>1551</v>
      </c>
      <c r="I292" s="2" t="s">
        <v>1338</v>
      </c>
      <c r="J292" s="2" t="s">
        <v>664</v>
      </c>
      <c r="K292" s="2" t="s">
        <v>1328</v>
      </c>
      <c r="L292" s="3">
        <f>IF(OR(TRIM(I292)="",TRIM(K292)=""),"",IFERROR((VALUE(LEFT(TRIM(I292),4))-VALUE(LEFT(TRIM(K292),4)))*12+VALUE(MID(TRIM(I292),6,2))-VALUE(MID(TRIM(K292),6,2)),""))</f>
        <v>1</v>
      </c>
      <c r="M292" s="2" t="str">
        <f>IF(TRIM(H292)="","",IFERROR(LOOKUP(2,1/(ISNUMBER(SEARCH('منطق دسته‌بندی'!$A$2:$A$187,H292))),'منطق دسته‌بندی'!$B$2:$B$187),"سایر (نیازمند بررسی دستی)"))</f>
        <v>نشتی - درب مخزن نمک (تعمیر/آب‌بندی)</v>
      </c>
      <c r="N292" s="2" t="s">
        <v>1381</v>
      </c>
      <c r="O292" s="2" t="str" cm="1">
        <f t="array" ref="O292">IF(A292="","",IF(SUMPRODUCT(($B$2:$B$965=B292)*($C$2:$C$965=C292)*($D$2:$D$965=D292)*($E$2:$E$965=E292)*($F$2:$F$965=F292)*($G$2:$G$965=G292)*($H$2:$H$965=H292)*($I$2:$I$965=I292)*($J$2:$J$965=J292)*($K$2:$K$965=K292)*($N$2:$N$965=N292))=1,"خیر",IF(SUMPRODUCT(($B$2:B292=B292)*($C$2:C292=C292)*($D$2:D292=D292)*($E$2:E292=E292)*($F$2:F292=F292)*($G$2:G292=G292)*($H$2:H292=H292)*($I$2:I292=I292)*($J$2:J292=J292)*($K$2:K292=K292)*($N$2:N292=N292))=1,"بله-1","بله")))</f>
        <v>خیر</v>
      </c>
      <c r="P292" s="5" t="str" cm="1">
        <f t="array" ref="P292">IF(A292="","",IF(SUMPRODUCT(($F$2:$F$969=F292)*($I$2:$I$969=I292))=1,"خیر",IF(SUMPRODUCT(($F$2:F292=F292)*($I$2:I292=I292))=1,"بله-1","بله")))</f>
        <v>بله</v>
      </c>
    </row>
    <row r="293" spans="1:16" ht="18.75" x14ac:dyDescent="0.25">
      <c r="A293" s="2">
        <v>710004709</v>
      </c>
      <c r="B293" s="2" t="s">
        <v>1040</v>
      </c>
      <c r="C293" s="2" t="s">
        <v>1041</v>
      </c>
      <c r="D293" s="2" t="s">
        <v>42</v>
      </c>
      <c r="E293" s="2" t="s">
        <v>1352</v>
      </c>
      <c r="F293" s="2" t="s">
        <v>1552</v>
      </c>
      <c r="G293" s="2" t="s">
        <v>1445</v>
      </c>
      <c r="H293" s="2" t="s">
        <v>1553</v>
      </c>
      <c r="I293" s="2" t="s">
        <v>1451</v>
      </c>
      <c r="J293" s="2" t="s">
        <v>243</v>
      </c>
      <c r="K293" s="2" t="s">
        <v>1554</v>
      </c>
      <c r="L293" s="3">
        <f>IF(OR(TRIM(I293)="",TRIM(K293)=""),"",IFERROR((VALUE(LEFT(TRIM(I293),4))-VALUE(LEFT(TRIM(K293),4)))*12+VALUE(MID(TRIM(I293),6,2))-VALUE(MID(TRIM(K293),6,2)),""))</f>
        <v>5</v>
      </c>
      <c r="M293" s="2" t="str">
        <f>IF(TRIM(H293)="","",IFERROR(LOOKUP(2,1/(ISNUMBER(SEARCH('منطق دسته‌بندی'!$A$2:$A$187,H293))),'منطق دسته‌بندی'!$B$2:$B$187),"سایر (نیازمند بررسی دستی)"))</f>
        <v>خرابی - برد الکترونیک (تعویض)</v>
      </c>
      <c r="N293" s="2" t="s">
        <v>1555</v>
      </c>
      <c r="O293" s="2" t="str" cm="1">
        <f t="array" ref="O293">IF(A293="","",IF(SUMPRODUCT(($B$2:$B$965=B293)*($C$2:$C$965=C293)*($D$2:$D$965=D293)*($E$2:$E$965=E293)*($F$2:$F$965=F293)*($G$2:$G$965=G293)*($H$2:$H$965=H293)*($I$2:$I$965=I293)*($J$2:$J$965=J293)*($K$2:$K$965=K293)*($N$2:$N$965=N293))=1,"خیر",IF(SUMPRODUCT(($B$2:B293=B293)*($C$2:C293=C293)*($D$2:D293=D293)*($E$2:E293=E293)*($F$2:F293=F293)*($G$2:G293=G293)*($H$2:H293=H293)*($I$2:I293=I293)*($J$2:J293=J293)*($K$2:K293=K293)*($N$2:N293=N293))=1,"بله-1","بله")))</f>
        <v>خیر</v>
      </c>
      <c r="P293" s="5" t="str" cm="1">
        <f t="array" ref="P293">IF(A293="","",IF(SUMPRODUCT(($F$2:$F$969=F293)*($I$2:$I$969=I293))=1,"خیر",IF(SUMPRODUCT(($F$2:F293=F293)*($I$2:I293=I293))=1,"بله-1","بله")))</f>
        <v>خیر</v>
      </c>
    </row>
    <row r="294" spans="1:16" ht="37.5" x14ac:dyDescent="0.25">
      <c r="A294" s="2" t="s">
        <v>504</v>
      </c>
      <c r="B294" s="2" t="s">
        <v>16</v>
      </c>
      <c r="C294" s="2" t="s">
        <v>17</v>
      </c>
      <c r="D294" s="2" t="s">
        <v>42</v>
      </c>
      <c r="E294" s="2" t="s">
        <v>93</v>
      </c>
      <c r="F294" s="2" t="s">
        <v>505</v>
      </c>
      <c r="G294" s="2" t="s">
        <v>95</v>
      </c>
      <c r="H294" s="2" t="s">
        <v>506</v>
      </c>
      <c r="I294" s="2" t="s">
        <v>507</v>
      </c>
      <c r="J294" s="2" t="s">
        <v>410</v>
      </c>
      <c r="K294" s="2" t="s">
        <v>508</v>
      </c>
      <c r="L294" s="3">
        <f>IF(OR(TRIM(I294)="",TRIM(K294)=""),"",IFERROR((VALUE(LEFT(TRIM(I294),4))-VALUE(LEFT(TRIM(K294),4)))*12+VALUE(MID(TRIM(I294),6,2))-VALUE(MID(TRIM(K294),6,2)),""))</f>
        <v>4</v>
      </c>
      <c r="M294" s="2" t="str">
        <f>IF(TRIM(H294)="","",IFERROR(LOOKUP(2,1/(ISNUMBER(SEARCH('منطق دسته‌بندی'!$A$2:$A$187,H294))),'منطق دسته‌بندی'!$B$2:$B$187),"سایر (نیازمند بررسی دستی)"))</f>
        <v>نشتی آب - محل نامشخص (نیازمند بازدید)</v>
      </c>
      <c r="N294" s="2" t="s">
        <v>24</v>
      </c>
      <c r="O294" s="2" t="str" cm="1">
        <f t="array" ref="O294">IF(A294="","",IF(SUMPRODUCT(($B$2:$B$965=B294)*($C$2:$C$965=C294)*($D$2:$D$965=D294)*($E$2:$E$965=E294)*($F$2:$F$965=F294)*($G$2:$G$965=G294)*($H$2:$H$965=H294)*($I$2:$I$965=I294)*($J$2:$J$965=J294)*($K$2:$K$965=K294)*($N$2:$N$965=N294))=1,"خیر",IF(SUMPRODUCT(($B$2:B294=B294)*($C$2:C294=C294)*($D$2:D294=D294)*($E$2:E294=E294)*($F$2:F294=F294)*($G$2:G294=G294)*($H$2:H294=H294)*($I$2:I294=I294)*($J$2:J294=J294)*($K$2:K294=K294)*($N$2:N294=N294))=1,"بله-1","بله")))</f>
        <v>خیر</v>
      </c>
      <c r="P294" s="5" t="str" cm="1">
        <f t="array" ref="P294">IF(A294="","",IF(SUMPRODUCT(($F$2:$F$969=F294)*($I$2:$I$969=I294))=1,"خیر",IF(SUMPRODUCT(($F$2:F294=F294)*($I$2:I294=I294))=1,"بله-1","بله")))</f>
        <v>خیر</v>
      </c>
    </row>
    <row r="295" spans="1:16" ht="18.75" x14ac:dyDescent="0.25">
      <c r="A295" s="2" t="s">
        <v>92</v>
      </c>
      <c r="B295" s="2" t="s">
        <v>16</v>
      </c>
      <c r="C295" s="2" t="s">
        <v>17</v>
      </c>
      <c r="D295" s="2" t="s">
        <v>42</v>
      </c>
      <c r="E295" s="2" t="s">
        <v>93</v>
      </c>
      <c r="F295" s="2" t="s">
        <v>94</v>
      </c>
      <c r="G295" s="2" t="s">
        <v>95</v>
      </c>
      <c r="H295" s="2" t="s">
        <v>79</v>
      </c>
      <c r="I295" s="2" t="s">
        <v>47</v>
      </c>
      <c r="J295" s="2" t="s">
        <v>96</v>
      </c>
      <c r="K295" s="2" t="s">
        <v>97</v>
      </c>
      <c r="L295" s="3">
        <f>IF(OR(TRIM(I295)="",TRIM(K295)=""),"",IFERROR((VALUE(LEFT(TRIM(I295),4))-VALUE(LEFT(TRIM(K295),4)))*12+VALUE(MID(TRIM(I295),6,2))-VALUE(MID(TRIM(K295),6,2)),""))</f>
        <v>2</v>
      </c>
      <c r="M295" s="2" t="str">
        <f>IF(TRIM(H295)="","",IFERROR(LOOKUP(2,1/(ISNUMBER(SEARCH('منطق دسته‌بندی'!$A$2:$A$187,H295))),'منطق دسته‌بندی'!$B$2:$B$187),"سایر (نیازمند بررسی دستی)"))</f>
        <v>نشتی - درب مخزن نمک (تعمیر/آب‌بندی)</v>
      </c>
      <c r="N295" s="2" t="s">
        <v>24</v>
      </c>
      <c r="O295" s="2" t="str" cm="1">
        <f t="array" ref="O295">IF(A295="","",IF(SUMPRODUCT(($B$2:$B$965=B295)*($C$2:$C$965=C295)*($D$2:$D$965=D295)*($E$2:$E$965=E295)*($F$2:$F$965=F295)*($G$2:$G$965=G295)*($H$2:$H$965=H295)*($I$2:$I$965=I295)*($J$2:$J$965=J295)*($K$2:$K$965=K295)*($N$2:$N$965=N295))=1,"خیر",IF(SUMPRODUCT(($B$2:B295=B295)*($C$2:C295=C295)*($D$2:D295=D295)*($E$2:E295=E295)*($F$2:F295=F295)*($G$2:G295=G295)*($H$2:H295=H295)*($I$2:I295=I295)*($J$2:J295=J295)*($K$2:K295=K295)*($N$2:N295=N295))=1,"بله-1","بله")))</f>
        <v>خیر</v>
      </c>
      <c r="P295" s="5" t="str" cm="1">
        <f t="array" ref="P295">IF(A295="","",IF(SUMPRODUCT(($F$2:$F$969=F295)*($I$2:$I$969=I295))=1,"خیر",IF(SUMPRODUCT(($F$2:F295=F295)*($I$2:I295=I295))=1,"بله-1","بله")))</f>
        <v>خیر</v>
      </c>
    </row>
    <row r="296" spans="1:16" ht="37.5" x14ac:dyDescent="0.25">
      <c r="A296" s="2">
        <v>130011647</v>
      </c>
      <c r="B296" s="2" t="s">
        <v>1950</v>
      </c>
      <c r="C296" s="2" t="s">
        <v>1951</v>
      </c>
      <c r="D296" s="2" t="s">
        <v>1356</v>
      </c>
      <c r="E296" s="15" t="s">
        <v>1694</v>
      </c>
      <c r="F296" s="2" t="s">
        <v>1702</v>
      </c>
      <c r="G296" s="2" t="s">
        <v>1359</v>
      </c>
      <c r="H296" s="2" t="s">
        <v>2023</v>
      </c>
      <c r="I296" s="2" t="s">
        <v>1410</v>
      </c>
      <c r="J296" s="2" t="s">
        <v>773</v>
      </c>
      <c r="K296" s="2" t="s">
        <v>1533</v>
      </c>
      <c r="L296" s="3">
        <f>IF(OR(TRIM(I296)="",TRIM(K296)=""),"",IFERROR((VALUE(LEFT(TRIM(I296),4))-VALUE(LEFT(TRIM(K296),4)))*12+VALUE(MID(TRIM(I296),6,2))-VALUE(MID(TRIM(K296),6,2)),""))</f>
        <v>2</v>
      </c>
      <c r="M296" s="2" t="str">
        <f>IF(TRIM(H296)="","",IFERROR(LOOKUP(2,1/(ISNUMBER(SEARCH('منطق دسته‌بندی'!$A$2:$A$187,H296))),'منطق دسته‌بندی'!$B$2:$B$187),"سایر (نیازمند بررسی دستی)"))</f>
        <v>مکانیزم درب - میکروسوئیچ/قلاب (تعویض/تنظیم)</v>
      </c>
      <c r="N296" s="2" t="s">
        <v>1703</v>
      </c>
      <c r="O296" s="2" t="str" cm="1">
        <f t="array" ref="O296">IF(A296="","",IF(SUMPRODUCT(($B$2:$B$965=B296)*($C$2:$C$965=C296)*($D$2:$D$965=D296)*($E$2:$E$965=E296)*($F$2:$F$965=F296)*($G$2:$G$965=G296)*($H$2:$H$965=H296)*($I$2:$I$965=I296)*($J$2:$J$965=J296)*($K$2:$K$965=K296)*($N$2:$N$965=N296))=1,"خیر",IF(SUMPRODUCT(($B$2:B296=B296)*($C$2:C296=C296)*($D$2:D296=D296)*($E$2:E296=E296)*($F$2:F296=F296)*($G$2:G296=G296)*($H$2:H296=H296)*($I$2:I296=I296)*($J$2:J296=J296)*($K$2:K296=K296)*($N$2:N296=N296))=1,"بله-1","بله")))</f>
        <v>خیر</v>
      </c>
      <c r="P296" s="5" t="str" cm="1">
        <f t="array" ref="P296">IF(A296="","",IF(SUMPRODUCT(($F$2:$F$969=F296)*($I$2:$I$969=I296))=1,"خیر",IF(SUMPRODUCT(($F$2:F296=F296)*($I$2:I296=I296))=1,"بله-1","بله")))</f>
        <v>خیر</v>
      </c>
    </row>
    <row r="297" spans="1:16" ht="18.75" x14ac:dyDescent="0.25">
      <c r="A297" s="2">
        <v>130010350</v>
      </c>
      <c r="B297" s="2" t="s">
        <v>1040</v>
      </c>
      <c r="C297" s="2" t="s">
        <v>1041</v>
      </c>
      <c r="D297" s="2" t="s">
        <v>1356</v>
      </c>
      <c r="E297" s="15" t="s">
        <v>1694</v>
      </c>
      <c r="F297" s="2" t="s">
        <v>1705</v>
      </c>
      <c r="G297" s="2" t="s">
        <v>1706</v>
      </c>
      <c r="H297" s="2" t="s">
        <v>1612</v>
      </c>
      <c r="I297" s="2" t="s">
        <v>1506</v>
      </c>
      <c r="J297" s="2" t="s">
        <v>773</v>
      </c>
      <c r="K297" s="2"/>
      <c r="L297" s="3" t="str">
        <f>IF(OR(TRIM(I297)="",TRIM(K297)=""),"",IFERROR((VALUE(LEFT(TRIM(I297),4))-VALUE(LEFT(TRIM(K297),4)))*12+VALUE(MID(TRIM(I297),6,2))-VALUE(MID(TRIM(K297),6,2)),""))</f>
        <v/>
      </c>
      <c r="M297" s="2" t="str">
        <f>IF(TRIM(H297)="","",IFERROR(LOOKUP(2,1/(ISNUMBER(SEARCH('منطق دسته‌بندی'!$A$2:$A$187,H297))),'منطق دسته‌بندی'!$B$2:$B$187),"سایر (نیازمند بررسی دستی)"))</f>
        <v>لاستیک درزگیر - دفرمگی/پارگی (تعویض)</v>
      </c>
      <c r="N297" s="2" t="s">
        <v>1613</v>
      </c>
      <c r="O297" s="2" t="str" cm="1">
        <f t="array" ref="O297">IF(A297="","",IF(SUMPRODUCT(($B$2:$B$965=B297)*($C$2:$C$965=C297)*($D$2:$D$965=D297)*($E$2:$E$965=E297)*($F$2:$F$965=F297)*($G$2:$G$965=G297)*($H$2:$H$965=H297)*($I$2:$I$965=I297)*($J$2:$J$965=J297)*($K$2:$K$965=K297)*($N$2:$N$965=N297))=1,"خیر",IF(SUMPRODUCT(($B$2:B297=B297)*($C$2:C297=C297)*($D$2:D297=D297)*($E$2:E297=E297)*($F$2:F297=F297)*($G$2:G297=G297)*($H$2:H297=H297)*($I$2:I297=I297)*($J$2:J297=J297)*($K$2:K297=K297)*($N$2:N297=N297))=1,"بله-1","بله")))</f>
        <v>خیر</v>
      </c>
      <c r="P297" s="5" t="str" cm="1">
        <f t="array" ref="P297">IF(A297="","",IF(SUMPRODUCT(($F$2:$F$969=F297)*($I$2:$I$969=I297))=1,"خیر",IF(SUMPRODUCT(($F$2:F297=F297)*($I$2:I297=I297))=1,"بله-1","بله")))</f>
        <v>خیر</v>
      </c>
    </row>
    <row r="298" spans="1:16" ht="18.75" x14ac:dyDescent="0.25">
      <c r="A298" s="2">
        <v>510026211</v>
      </c>
      <c r="B298" s="2" t="s">
        <v>1950</v>
      </c>
      <c r="C298" s="2" t="s">
        <v>1951</v>
      </c>
      <c r="D298" s="2" t="s">
        <v>1356</v>
      </c>
      <c r="E298" s="2" t="s">
        <v>1694</v>
      </c>
      <c r="F298" s="2" t="s">
        <v>1707</v>
      </c>
      <c r="G298" s="2" t="s">
        <v>1580</v>
      </c>
      <c r="H298" s="18" t="s">
        <v>1526</v>
      </c>
      <c r="I298" s="2" t="s">
        <v>1410</v>
      </c>
      <c r="J298" s="2" t="s">
        <v>761</v>
      </c>
      <c r="K298" s="2" t="s">
        <v>1021</v>
      </c>
      <c r="L298" s="3">
        <f>IF(OR(TRIM(I298)="",TRIM(K298)=""),"",IFERROR((VALUE(LEFT(TRIM(I298),4))-VALUE(LEFT(TRIM(K298),4)))*12+VALUE(MID(TRIM(I298),6,2))-VALUE(MID(TRIM(K298),6,2)),""))</f>
        <v>3</v>
      </c>
      <c r="M298" s="2" t="str">
        <f>IF(TRIM(H298)="","",IFERROR(LOOKUP(2,1/(ISNUMBER(SEARCH('منطق دسته‌بندی'!$A$2:$A$187,H298))),'منطق دسته‌بندی'!$B$2:$B$187),"سایر (نیازمند بررسی دستی)"))</f>
        <v>تراز/لرزش - نصب (رگلاژ پایه)</v>
      </c>
      <c r="N298" s="2" t="s">
        <v>1381</v>
      </c>
      <c r="O298" s="2" t="str" cm="1">
        <f t="array" ref="O298">IF(A298="","",IF(SUMPRODUCT(($B$2:$B$965=B298)*($C$2:$C$965=C298)*($D$2:$D$965=D298)*($E$2:$E$965=E298)*($F$2:$F$965=F298)*($G$2:$G$965=G298)*($H$2:$H$965=H298)*($I$2:$I$965=I298)*($J$2:$J$965=J298)*($K$2:$K$965=K298)*($N$2:$N$965=N298))=1,"خیر",IF(SUMPRODUCT(($B$2:B298=B298)*($C$2:C298=C298)*($D$2:D298=D298)*($E$2:E298=E298)*($F$2:F298=F298)*($G$2:G298=G298)*($H$2:H298=H298)*($I$2:I298=I298)*($J$2:J298=J298)*($K$2:K298=K298)*($N$2:N298=N298))=1,"بله-1","بله")))</f>
        <v>خیر</v>
      </c>
      <c r="P298" s="5" t="str" cm="1">
        <f t="array" ref="P298">IF(A298="","",IF(SUMPRODUCT(($F$2:$F$969=F298)*($I$2:$I$969=I298))=1,"خیر",IF(SUMPRODUCT(($F$2:F298=F298)*($I$2:I298=I298))=1,"بله-1","بله")))</f>
        <v>خیر</v>
      </c>
    </row>
    <row r="299" spans="1:16" ht="37.5" x14ac:dyDescent="0.25">
      <c r="A299" s="2">
        <v>310010325</v>
      </c>
      <c r="B299" s="2" t="s">
        <v>1950</v>
      </c>
      <c r="C299" s="2" t="s">
        <v>1951</v>
      </c>
      <c r="D299" s="2" t="s">
        <v>1356</v>
      </c>
      <c r="E299" s="2" t="s">
        <v>1694</v>
      </c>
      <c r="F299" s="2" t="s">
        <v>1695</v>
      </c>
      <c r="G299" s="2" t="s">
        <v>1696</v>
      </c>
      <c r="H299" s="2" t="s">
        <v>1667</v>
      </c>
      <c r="I299" s="2" t="s">
        <v>1360</v>
      </c>
      <c r="J299" s="2" t="s">
        <v>1333</v>
      </c>
      <c r="K299" s="2" t="s">
        <v>1280</v>
      </c>
      <c r="L299" s="3">
        <f>IF(OR(TRIM(I299)="",TRIM(K299)=""),"",IFERROR((VALUE(LEFT(TRIM(I299),4))-VALUE(LEFT(TRIM(K299),4)))*12+VALUE(MID(TRIM(I299),6,2))-VALUE(MID(TRIM(K299),6,2)),""))</f>
        <v>1</v>
      </c>
      <c r="M299" s="2" t="str">
        <f>IF(TRIM(H299)="","",IFERROR(LOOKUP(2,1/(ISNUMBER(SEARCH('منطق دسته‌بندی'!$A$2:$A$187,H299))),'منطق دسته‌بندی'!$B$2:$B$187),"سایر (نیازمند بررسی دستی)"))</f>
        <v>کسری اقلام بسته‌بندی</v>
      </c>
      <c r="N299" s="2" t="s">
        <v>1603</v>
      </c>
      <c r="O299" s="2" t="str" cm="1">
        <f t="array" ref="O299">IF(A299="","",IF(SUMPRODUCT(($B$2:$B$965=B299)*($C$2:$C$965=C299)*($D$2:$D$965=D299)*($E$2:$E$965=E299)*($F$2:$F$965=F299)*($G$2:$G$965=G299)*($H$2:$H$965=H299)*($I$2:$I$965=I299)*($J$2:$J$965=J299)*($K$2:$K$965=K299)*($N$2:$N$965=N299))=1,"خیر",IF(SUMPRODUCT(($B$2:B299=B299)*($C$2:C299=C299)*($D$2:D299=D299)*($E$2:E299=E299)*($F$2:F299=F299)*($G$2:G299=G299)*($H$2:H299=H299)*($I$2:I299=I299)*($J$2:J299=J299)*($K$2:K299=K299)*($N$2:N299=N299))=1,"بله-1","بله")))</f>
        <v>خیر</v>
      </c>
      <c r="P299" s="5" t="str" cm="1">
        <f t="array" ref="P299">IF(A299="","",IF(SUMPRODUCT(($F$2:$F$969=F299)*($I$2:$I$969=I299))=1,"خیر",IF(SUMPRODUCT(($F$2:F299=F299)*($I$2:I299=I299))=1,"بله-1","بله")))</f>
        <v>خیر</v>
      </c>
    </row>
    <row r="300" spans="1:16" ht="37.5" x14ac:dyDescent="0.25">
      <c r="A300" s="2">
        <v>810006362</v>
      </c>
      <c r="B300" s="2" t="s">
        <v>1950</v>
      </c>
      <c r="C300" s="2" t="s">
        <v>1951</v>
      </c>
      <c r="D300" s="2" t="s">
        <v>1356</v>
      </c>
      <c r="E300" s="2" t="s">
        <v>1694</v>
      </c>
      <c r="F300" s="2" t="s">
        <v>1697</v>
      </c>
      <c r="G300" s="2" t="s">
        <v>1666</v>
      </c>
      <c r="H300" s="2" t="s">
        <v>1667</v>
      </c>
      <c r="I300" s="2" t="s">
        <v>1547</v>
      </c>
      <c r="J300" s="2" t="s">
        <v>924</v>
      </c>
      <c r="K300" s="2" t="s">
        <v>1470</v>
      </c>
      <c r="L300" s="3">
        <f>IF(OR(TRIM(I300)="",TRIM(K300)=""),"",IFERROR((VALUE(LEFT(TRIM(I300),4))-VALUE(LEFT(TRIM(K300),4)))*12+VALUE(MID(TRIM(I300),6,2))-VALUE(MID(TRIM(K300),6,2)),""))</f>
        <v>0</v>
      </c>
      <c r="M300" s="2" t="str">
        <f>IF(TRIM(H300)="","",IFERROR(LOOKUP(2,1/(ISNUMBER(SEARCH('منطق دسته‌بندی'!$A$2:$A$187,H300))),'منطق دسته‌بندی'!$B$2:$B$187),"سایر (نیازمند بررسی دستی)"))</f>
        <v>کسری اقلام بسته‌بندی</v>
      </c>
      <c r="N300" s="2" t="s">
        <v>1603</v>
      </c>
      <c r="O300" s="2" t="str" cm="1">
        <f t="array" ref="O300">IF(A300="","",IF(SUMPRODUCT(($B$2:$B$965=B300)*($C$2:$C$965=C300)*($D$2:$D$965=D300)*($E$2:$E$965=E300)*($F$2:$F$965=F300)*($G$2:$G$965=G300)*($H$2:$H$965=H300)*($I$2:$I$965=I300)*($J$2:$J$965=J300)*($K$2:$K$965=K300)*($N$2:$N$965=N300))=1,"خیر",IF(SUMPRODUCT(($B$2:B300=B300)*($C$2:C300=C300)*($D$2:D300=D300)*($E$2:E300=E300)*($F$2:F300=F300)*($G$2:G300=G300)*($H$2:H300=H300)*($I$2:I300=I300)*($J$2:J300=J300)*($K$2:K300=K300)*($N$2:N300=N300))=1,"بله-1","بله")))</f>
        <v>خیر</v>
      </c>
      <c r="P300" s="5" t="str" cm="1">
        <f t="array" ref="P300">IF(A300="","",IF(SUMPRODUCT(($F$2:$F$969=F300)*($I$2:$I$969=I300))=1,"خیر",IF(SUMPRODUCT(($F$2:F300=F300)*($I$2:I300=I300))=1,"بله-1","بله")))</f>
        <v>خیر</v>
      </c>
    </row>
    <row r="301" spans="1:16" ht="18.75" x14ac:dyDescent="0.25">
      <c r="A301" s="2">
        <v>130011130</v>
      </c>
      <c r="B301" s="2" t="s">
        <v>1950</v>
      </c>
      <c r="C301" s="2" t="s">
        <v>1951</v>
      </c>
      <c r="D301" s="2" t="s">
        <v>1356</v>
      </c>
      <c r="E301" s="2" t="s">
        <v>1330</v>
      </c>
      <c r="F301" s="2" t="s">
        <v>1704</v>
      </c>
      <c r="G301" s="2" t="s">
        <v>1580</v>
      </c>
      <c r="H301" s="18" t="s">
        <v>1526</v>
      </c>
      <c r="I301" s="2" t="s">
        <v>1547</v>
      </c>
      <c r="J301" s="2" t="s">
        <v>773</v>
      </c>
      <c r="K301" s="2" t="s">
        <v>1470</v>
      </c>
      <c r="L301" s="3">
        <f>IF(OR(TRIM(I301)="",TRIM(K301)=""),"",IFERROR((VALUE(LEFT(TRIM(I301),4))-VALUE(LEFT(TRIM(K301),4)))*12+VALUE(MID(TRIM(I301),6,2))-VALUE(MID(TRIM(K301),6,2)),""))</f>
        <v>0</v>
      </c>
      <c r="M301" s="2" t="str">
        <f>IF(TRIM(H301)="","",IFERROR(LOOKUP(2,1/(ISNUMBER(SEARCH('منطق دسته‌بندی'!$A$2:$A$187,H301))),'منطق دسته‌بندی'!$B$2:$B$187),"سایر (نیازمند بررسی دستی)"))</f>
        <v>تراز/لرزش - نصب (رگلاژ پایه)</v>
      </c>
      <c r="N301" s="2" t="s">
        <v>1381</v>
      </c>
      <c r="O301" s="2" t="str" cm="1">
        <f t="array" ref="O301">IF(A301="","",IF(SUMPRODUCT(($B$2:$B$965=B301)*($C$2:$C$965=C301)*($D$2:$D$965=D301)*($E$2:$E$965=E301)*($F$2:$F$965=F301)*($G$2:$G$965=G301)*($H$2:$H$965=H301)*($I$2:$I$965=I301)*($J$2:$J$965=J301)*($K$2:$K$965=K301)*($N$2:$N$965=N301))=1,"خیر",IF(SUMPRODUCT(($B$2:B301=B301)*($C$2:C301=C301)*($D$2:D301=D301)*($E$2:E301=E301)*($F$2:F301=F301)*($G$2:G301=G301)*($H$2:H301=H301)*($I$2:I301=I301)*($J$2:J301=J301)*($K$2:K301=K301)*($N$2:N301=N301))=1,"بله-1","بله")))</f>
        <v>خیر</v>
      </c>
      <c r="P301" s="5" t="str" cm="1">
        <f t="array" ref="P301">IF(A301="","",IF(SUMPRODUCT(($F$2:$F$969=F301)*($I$2:$I$969=I301))=1,"خیر",IF(SUMPRODUCT(($F$2:F301=F301)*($I$2:I301=I301))=1,"بله-1","بله")))</f>
        <v>خیر</v>
      </c>
    </row>
    <row r="302" spans="1:16" ht="37.5" x14ac:dyDescent="0.25">
      <c r="A302" s="2" t="s">
        <v>1329</v>
      </c>
      <c r="B302" s="2" t="s">
        <v>1040</v>
      </c>
      <c r="C302" s="2" t="s">
        <v>1041</v>
      </c>
      <c r="D302" s="2" t="s">
        <v>1356</v>
      </c>
      <c r="E302" s="15" t="s">
        <v>1330</v>
      </c>
      <c r="F302" s="2" t="s">
        <v>1331</v>
      </c>
      <c r="G302" s="2" t="s">
        <v>1332</v>
      </c>
      <c r="H302" s="2" t="s">
        <v>1114</v>
      </c>
      <c r="I302" s="2" t="s">
        <v>1305</v>
      </c>
      <c r="J302" s="2" t="s">
        <v>1333</v>
      </c>
      <c r="K302" s="2"/>
      <c r="L302" s="3" t="str">
        <f>IF(OR(TRIM(I302)="",TRIM(K302)=""),"",IFERROR((VALUE(LEFT(TRIM(I302),4))-VALUE(LEFT(TRIM(K302),4)))*12+VALUE(MID(TRIM(I302),6,2))-VALUE(MID(TRIM(K302),6,2)),""))</f>
        <v/>
      </c>
      <c r="M302" s="2" t="str">
        <f>IF(TRIM(H302)="","",IFERROR(LOOKUP(2,1/(ISNUMBER(SEARCH('منطق دسته‌بندی'!$A$2:$A$187,H302))),'منطق دسته‌بندی'!$B$2:$B$187),"سایر (نیازمند بررسی دستی)"))</f>
        <v>کسری اقلام بسته‌بندی</v>
      </c>
      <c r="N302" s="2" t="s">
        <v>1115</v>
      </c>
      <c r="O302" s="2" t="str" cm="1">
        <f t="array" ref="O302">IF(A302="","",IF(SUMPRODUCT(($B$2:$B$965=B302)*($C$2:$C$965=C302)*($D$2:$D$965=D302)*($E$2:$E$965=E302)*($F$2:$F$965=F302)*($G$2:$G$965=G302)*($H$2:$H$965=H302)*($I$2:$I$965=I302)*($J$2:$J$965=J302)*($K$2:$K$965=K302)*($N$2:$N$965=N302))=1,"خیر",IF(SUMPRODUCT(($B$2:B302=B302)*($C$2:C302=C302)*($D$2:D302=D302)*($E$2:E302=E302)*($F$2:F302=F302)*($G$2:G302=G302)*($H$2:H302=H302)*($I$2:I302=I302)*($J$2:J302=J302)*($K$2:K302=K302)*($N$2:N302=N302))=1,"بله-1","بله")))</f>
        <v>خیر</v>
      </c>
      <c r="P302" s="5" t="str" cm="1">
        <f t="array" ref="P302">IF(A302="","",IF(SUMPRODUCT(($F$2:$F$969=F302)*($I$2:$I$969=I302))=1,"خیر",IF(SUMPRODUCT(($F$2:F302=F302)*($I$2:I302=I302))=1,"بله-1","بله")))</f>
        <v>خیر</v>
      </c>
    </row>
    <row r="303" spans="1:16" ht="18.75" x14ac:dyDescent="0.25">
      <c r="A303" s="2" t="s">
        <v>824</v>
      </c>
      <c r="B303" s="2" t="s">
        <v>632</v>
      </c>
      <c r="C303" s="2" t="s">
        <v>633</v>
      </c>
      <c r="D303" s="2" t="s">
        <v>1356</v>
      </c>
      <c r="E303" s="2" t="s">
        <v>825</v>
      </c>
      <c r="F303" s="2" t="s">
        <v>826</v>
      </c>
      <c r="G303" s="2" t="s">
        <v>214</v>
      </c>
      <c r="H303" s="2" t="s">
        <v>139</v>
      </c>
      <c r="I303" s="2" t="s">
        <v>827</v>
      </c>
      <c r="J303" s="2" t="s">
        <v>198</v>
      </c>
      <c r="K303" s="2" t="s">
        <v>812</v>
      </c>
      <c r="L303" s="3">
        <f>IF(OR(TRIM(I303)="",TRIM(K303)=""),"",IFERROR((VALUE(LEFT(TRIM(I303),4))-VALUE(LEFT(TRIM(K303),4)))*12+VALUE(MID(TRIM(I303),6,2))-VALUE(MID(TRIM(K303),6,2)),""))</f>
        <v>0</v>
      </c>
      <c r="M303" s="2" t="str">
        <f>IF(TRIM(H303)="","",IFERROR(LOOKUP(2,1/(ISNUMBER(SEARCH('منطق دسته‌بندی'!$A$2:$A$187,H303))),'منطق دسته‌بندی'!$B$2:$B$187),"سایر (نیازمند بررسی دستی)"))</f>
        <v>تراز/لرزش - نصب (رگلاژ پایه)</v>
      </c>
      <c r="N303" s="2" t="s">
        <v>158</v>
      </c>
      <c r="O303" s="2" t="str" cm="1">
        <f t="array" ref="O303">IF(A303="","",IF(SUMPRODUCT(($B$2:$B$965=B303)*($C$2:$C$965=C303)*($D$2:$D$965=D303)*($E$2:$E$965=E303)*($F$2:$F$965=F303)*($G$2:$G$965=G303)*($H$2:$H$965=H303)*($I$2:$I$965=I303)*($J$2:$J$965=J303)*($K$2:$K$965=K303)*($N$2:$N$965=N303))=1,"خیر",IF(SUMPRODUCT(($B$2:B303=B303)*($C$2:C303=C303)*($D$2:D303=D303)*($E$2:E303=E303)*($F$2:F303=F303)*($G$2:G303=G303)*($H$2:H303=H303)*($I$2:I303=I303)*($J$2:J303=J303)*($K$2:K303=K303)*($N$2:N303=N303))=1,"بله-1","بله")))</f>
        <v>خیر</v>
      </c>
      <c r="P303" s="5" t="str" cm="1">
        <f t="array" ref="P303">IF(A303="","",IF(SUMPRODUCT(($F$2:$F$969=F303)*($I$2:$I$969=I303))=1,"خیر",IF(SUMPRODUCT(($F$2:F303=F303)*($I$2:I303=I303))=1,"بله-1","بله")))</f>
        <v>خیر</v>
      </c>
    </row>
    <row r="304" spans="1:16" ht="37.5" x14ac:dyDescent="0.25">
      <c r="A304" s="2">
        <v>810006364</v>
      </c>
      <c r="B304" s="2" t="s">
        <v>1950</v>
      </c>
      <c r="C304" s="2" t="s">
        <v>1951</v>
      </c>
      <c r="D304" s="2" t="s">
        <v>1356</v>
      </c>
      <c r="E304" s="15" t="s">
        <v>1330</v>
      </c>
      <c r="F304" s="2" t="s">
        <v>1690</v>
      </c>
      <c r="G304" s="2" t="s">
        <v>1666</v>
      </c>
      <c r="H304" s="2" t="s">
        <v>757</v>
      </c>
      <c r="I304" s="2" t="s">
        <v>1420</v>
      </c>
      <c r="J304" s="2" t="s">
        <v>1691</v>
      </c>
      <c r="K304" s="2"/>
      <c r="L304" s="3" t="str">
        <f>IF(OR(TRIM(I304)="",TRIM(K304)=""),"",IFERROR((VALUE(LEFT(TRIM(I304),4))-VALUE(LEFT(TRIM(K304),4)))*12+VALUE(MID(TRIM(I304),6,2))-VALUE(MID(TRIM(K304),6,2)),""))</f>
        <v/>
      </c>
      <c r="M304" s="2" t="str">
        <f>IF(TRIM(H304)="","",IFERROR(LOOKUP(2,1/(ISNUMBER(SEARCH('منطق دسته‌بندی'!$A$2:$A$187,H304))),'منطق دسته‌بندی'!$B$2:$B$187),"سایر (نیازمند بررسی دستی)"))</f>
        <v>خرابی - لامپ/LED داخلی (تعویض)</v>
      </c>
      <c r="N304" s="2" t="s">
        <v>1102</v>
      </c>
      <c r="O304" s="2" t="str" cm="1">
        <f t="array" ref="O304">IF(A304="","",IF(SUMPRODUCT(($B$2:$B$965=B304)*($C$2:$C$965=C304)*($D$2:$D$965=D304)*($E$2:$E$965=E304)*($F$2:$F$965=F304)*($G$2:$G$965=G304)*($H$2:$H$965=H304)*($I$2:$I$965=I304)*($J$2:$J$965=J304)*($K$2:$K$965=K304)*($N$2:$N$965=N304))=1,"خیر",IF(SUMPRODUCT(($B$2:B304=B304)*($C$2:C304=C304)*($D$2:D304=D304)*($E$2:E304=E304)*($F$2:F304=F304)*($G$2:G304=G304)*($H$2:H304=H304)*($I$2:I304=I304)*($J$2:J304=J304)*($K$2:K304=K304)*($N$2:N304=N304))=1,"بله-1","بله")))</f>
        <v>خیر</v>
      </c>
      <c r="P304" s="5" t="str" cm="1">
        <f t="array" ref="P304">IF(A304="","",IF(SUMPRODUCT(($F$2:$F$969=F304)*($I$2:$I$969=I304))=1,"خیر",IF(SUMPRODUCT(($F$2:F304=F304)*($I$2:I304=I304))=1,"بله-1","بله")))</f>
        <v>خیر</v>
      </c>
    </row>
    <row r="305" spans="1:16" ht="18.75" x14ac:dyDescent="0.25">
      <c r="A305" s="2">
        <v>130011739</v>
      </c>
      <c r="B305" s="2" t="s">
        <v>1950</v>
      </c>
      <c r="C305" s="2" t="s">
        <v>1951</v>
      </c>
      <c r="D305" s="2" t="s">
        <v>1356</v>
      </c>
      <c r="E305" s="2" t="s">
        <v>1708</v>
      </c>
      <c r="F305" s="2" t="s">
        <v>1711</v>
      </c>
      <c r="G305" s="2" t="s">
        <v>1580</v>
      </c>
      <c r="H305" s="18" t="s">
        <v>1526</v>
      </c>
      <c r="I305" s="2" t="s">
        <v>1399</v>
      </c>
      <c r="J305" s="2" t="s">
        <v>934</v>
      </c>
      <c r="K305" s="2" t="s">
        <v>1305</v>
      </c>
      <c r="L305" s="3">
        <f>IF(OR(TRIM(I305)="",TRIM(K305)=""),"",IFERROR((VALUE(LEFT(TRIM(I305),4))-VALUE(LEFT(TRIM(K305),4)))*12+VALUE(MID(TRIM(I305),6,2))-VALUE(MID(TRIM(K305),6,2)),""))</f>
        <v>1</v>
      </c>
      <c r="M305" s="2" t="str">
        <f>IF(TRIM(H305)="","",IFERROR(LOOKUP(2,1/(ISNUMBER(SEARCH('منطق دسته‌بندی'!$A$2:$A$187,H305))),'منطق دسته‌بندی'!$B$2:$B$187),"سایر (نیازمند بررسی دستی)"))</f>
        <v>تراز/لرزش - نصب (رگلاژ پایه)</v>
      </c>
      <c r="N305" s="2" t="s">
        <v>1381</v>
      </c>
      <c r="O305" s="2" t="str" cm="1">
        <f t="array" ref="O305">IF(A305="","",IF(SUMPRODUCT(($B$2:$B$965=B305)*($C$2:$C$965=C305)*($D$2:$D$965=D305)*($E$2:$E$965=E305)*($F$2:$F$965=F305)*($G$2:$G$965=G305)*($H$2:$H$965=H305)*($I$2:$I$965=I305)*($J$2:$J$965=J305)*($K$2:$K$965=K305)*($N$2:$N$965=N305))=1,"خیر",IF(SUMPRODUCT(($B$2:B305=B305)*($C$2:C305=C305)*($D$2:D305=D305)*($E$2:E305=E305)*($F$2:F305=F305)*($G$2:G305=G305)*($H$2:H305=H305)*($I$2:I305=I305)*($J$2:J305=J305)*($K$2:K305=K305)*($N$2:N305=N305))=1,"بله-1","بله")))</f>
        <v>خیر</v>
      </c>
      <c r="P305" s="5" t="str" cm="1">
        <f t="array" ref="P305">IF(A305="","",IF(SUMPRODUCT(($F$2:$F$969=F305)*($I$2:$I$969=I305))=1,"خیر",IF(SUMPRODUCT(($F$2:F305=F305)*($I$2:I305=I305))=1,"بله-1","بله")))</f>
        <v>خیر</v>
      </c>
    </row>
    <row r="306" spans="1:16" ht="18.75" x14ac:dyDescent="0.25">
      <c r="A306" s="2" t="s">
        <v>901</v>
      </c>
      <c r="B306" s="2" t="s">
        <v>881</v>
      </c>
      <c r="C306" s="2" t="s">
        <v>882</v>
      </c>
      <c r="D306" s="2" t="s">
        <v>1356</v>
      </c>
      <c r="E306" s="2" t="s">
        <v>82</v>
      </c>
      <c r="F306" s="2" t="s">
        <v>902</v>
      </c>
      <c r="G306" s="2" t="s">
        <v>659</v>
      </c>
      <c r="H306" s="2" t="s">
        <v>745</v>
      </c>
      <c r="I306" s="2" t="s">
        <v>903</v>
      </c>
      <c r="J306" s="2" t="s">
        <v>812</v>
      </c>
      <c r="K306" s="2" t="s">
        <v>812</v>
      </c>
      <c r="L306" s="3">
        <f>IF(OR(TRIM(I306)="",TRIM(K306)=""),"",IFERROR((VALUE(LEFT(TRIM(I306),4))-VALUE(LEFT(TRIM(K306),4)))*12+VALUE(MID(TRIM(I306),6,2))-VALUE(MID(TRIM(K306),6,2)),""))</f>
        <v>1</v>
      </c>
      <c r="M306" s="2" t="str">
        <f>IF(TRIM(H306)="","",IFERROR(LOOKUP(2,1/(ISNUMBER(SEARCH('منطق دسته‌بندی'!$A$2:$A$187,H306))),'منطق دسته‌بندی'!$B$2:$B$187),"سایر (نیازمند بررسی دستی)"))</f>
        <v>خرابی - برد الکترونیک (تعویض)</v>
      </c>
      <c r="N306" s="2" t="s">
        <v>40</v>
      </c>
      <c r="O306" s="2" t="str" cm="1">
        <f t="array" ref="O306">IF(A306="","",IF(SUMPRODUCT(($B$2:$B$965=B306)*($C$2:$C$965=C306)*($D$2:$D$965=D306)*($E$2:$E$965=E306)*($F$2:$F$965=F306)*($G$2:$G$965=G306)*($H$2:$H$965=H306)*($I$2:$I$965=I306)*($J$2:$J$965=J306)*($K$2:$K$965=K306)*($N$2:$N$965=N306))=1,"خیر",IF(SUMPRODUCT(($B$2:B306=B306)*($C$2:C306=C306)*($D$2:D306=D306)*($E$2:E306=E306)*($F$2:F306=F306)*($G$2:G306=G306)*($H$2:H306=H306)*($I$2:I306=I306)*($J$2:J306=J306)*($K$2:K306=K306)*($N$2:N306=N306))=1,"بله-1","بله")))</f>
        <v>خیر</v>
      </c>
      <c r="P306" s="5" t="str" cm="1">
        <f t="array" ref="P306">IF(A306="","",IF(SUMPRODUCT(($F$2:$F$969=F306)*($I$2:$I$969=I306))=1,"خیر",IF(SUMPRODUCT(($F$2:F306=F306)*($I$2:I306=I306))=1,"بله-1","بله")))</f>
        <v>خیر</v>
      </c>
    </row>
    <row r="307" spans="1:16" ht="18.75" x14ac:dyDescent="0.25">
      <c r="A307" s="2">
        <v>210021761</v>
      </c>
      <c r="B307" s="2" t="s">
        <v>1950</v>
      </c>
      <c r="C307" s="2" t="s">
        <v>1951</v>
      </c>
      <c r="D307" s="2" t="s">
        <v>1356</v>
      </c>
      <c r="E307" s="15" t="s">
        <v>1708</v>
      </c>
      <c r="F307" s="2" t="s">
        <v>1709</v>
      </c>
      <c r="G307" s="2" t="s">
        <v>1580</v>
      </c>
      <c r="H307" s="2" t="s">
        <v>1710</v>
      </c>
      <c r="I307" s="2" t="s">
        <v>1420</v>
      </c>
      <c r="J307" s="2" t="s">
        <v>710</v>
      </c>
      <c r="K307" s="2" t="s">
        <v>1492</v>
      </c>
      <c r="L307" s="3">
        <f>IF(OR(TRIM(I307)="",TRIM(K307)=""),"",IFERROR((VALUE(LEFT(TRIM(I307),4))-VALUE(LEFT(TRIM(K307),4)))*12+VALUE(MID(TRIM(I307),6,2))-VALUE(MID(TRIM(K307),6,2)),""))</f>
        <v>1</v>
      </c>
      <c r="M307" s="2" t="str">
        <f>IF(TRIM(H307)="","",IFERROR(LOOKUP(2,1/(ISNUMBER(SEARCH('منطق دسته‌بندی'!$A$2:$A$187,H307))),'منطق دسته‌بندی'!$B$2:$B$187),"سایر (نیازمند بررسی دستی)"))</f>
        <v>بالانسور/اتصالات - تنظیم</v>
      </c>
      <c r="N307" s="2" t="s">
        <v>1381</v>
      </c>
      <c r="O307" s="2" t="str" cm="1">
        <f t="array" ref="O307">IF(A307="","",IF(SUMPRODUCT(($B$2:$B$965=B307)*($C$2:$C$965=C307)*($D$2:$D$965=D307)*($E$2:$E$965=E307)*($F$2:$F$965=F307)*($G$2:$G$965=G307)*($H$2:$H$965=H307)*($I$2:$I$965=I307)*($J$2:$J$965=J307)*($K$2:$K$965=K307)*($N$2:$N$965=N307))=1,"خیر",IF(SUMPRODUCT(($B$2:B307=B307)*($C$2:C307=C307)*($D$2:D307=D307)*($E$2:E307=E307)*($F$2:F307=F307)*($G$2:G307=G307)*($H$2:H307=H307)*($I$2:I307=I307)*($J$2:J307=J307)*($K$2:K307=K307)*($N$2:N307=N307))=1,"بله-1","بله")))</f>
        <v>خیر</v>
      </c>
      <c r="P307" s="5" t="str" cm="1">
        <f t="array" ref="P307">IF(A307="","",IF(SUMPRODUCT(($F$2:$F$969=F307)*($I$2:$I$969=I307))=1,"خیر",IF(SUMPRODUCT(($F$2:F307=F307)*($I$2:I307=I307))=1,"بله-1","بله")))</f>
        <v>خیر</v>
      </c>
    </row>
    <row r="308" spans="1:16" ht="37.5" x14ac:dyDescent="0.25">
      <c r="A308" s="2">
        <v>310009423</v>
      </c>
      <c r="B308" s="2" t="s">
        <v>1950</v>
      </c>
      <c r="C308" s="2" t="s">
        <v>1951</v>
      </c>
      <c r="D308" s="2" t="s">
        <v>1356</v>
      </c>
      <c r="E308" s="2" t="s">
        <v>1111</v>
      </c>
      <c r="F308" s="2" t="s">
        <v>1685</v>
      </c>
      <c r="G308" s="2" t="s">
        <v>1666</v>
      </c>
      <c r="H308" s="2" t="s">
        <v>1667</v>
      </c>
      <c r="I308" s="2" t="s">
        <v>1470</v>
      </c>
      <c r="J308" s="2" t="s">
        <v>550</v>
      </c>
      <c r="K308" s="2" t="s">
        <v>1470</v>
      </c>
      <c r="L308" s="3">
        <f>IF(OR(TRIM(I308)="",TRIM(K308)=""),"",IFERROR((VALUE(LEFT(TRIM(I308),4))-VALUE(LEFT(TRIM(K308),4)))*12+VALUE(MID(TRIM(I308),6,2))-VALUE(MID(TRIM(K308),6,2)),""))</f>
        <v>0</v>
      </c>
      <c r="M308" s="2" t="str">
        <f>IF(TRIM(H308)="","",IFERROR(LOOKUP(2,1/(ISNUMBER(SEARCH('منطق دسته‌بندی'!$A$2:$A$187,H308))),'منطق دسته‌بندی'!$B$2:$B$187),"سایر (نیازمند بررسی دستی)"))</f>
        <v>کسری اقلام بسته‌بندی</v>
      </c>
      <c r="N308" s="2" t="s">
        <v>1603</v>
      </c>
      <c r="O308" s="2" t="str" cm="1">
        <f t="array" ref="O308">IF(A308="","",IF(SUMPRODUCT(($B$2:$B$965=B308)*($C$2:$C$965=C308)*($D$2:$D$965=D308)*($E$2:$E$965=E308)*($F$2:$F$965=F308)*($G$2:$G$965=G308)*($H$2:$H$965=H308)*($I$2:$I$965=I308)*($J$2:$J$965=J308)*($K$2:$K$965=K308)*($N$2:$N$965=N308))=1,"خیر",IF(SUMPRODUCT(($B$2:B308=B308)*($C$2:C308=C308)*($D$2:D308=D308)*($E$2:E308=E308)*($F$2:F308=F308)*($G$2:G308=G308)*($H$2:H308=H308)*($I$2:I308=I308)*($J$2:J308=J308)*($K$2:K308=K308)*($N$2:N308=N308))=1,"بله-1","بله")))</f>
        <v>خیر</v>
      </c>
      <c r="P308" s="5" t="str" cm="1">
        <f t="array" ref="P308">IF(A308="","",IF(SUMPRODUCT(($F$2:$F$969=F308)*($I$2:$I$969=I308))=1,"خیر",IF(SUMPRODUCT(($F$2:F308=F308)*($I$2:I308=I308))=1,"بله-1","بله")))</f>
        <v>خیر</v>
      </c>
    </row>
    <row r="309" spans="1:16" ht="37.5" x14ac:dyDescent="0.25">
      <c r="A309" s="2">
        <v>130011656</v>
      </c>
      <c r="B309" s="2" t="s">
        <v>1950</v>
      </c>
      <c r="C309" s="2" t="s">
        <v>1951</v>
      </c>
      <c r="D309" s="2" t="s">
        <v>1356</v>
      </c>
      <c r="E309" s="2" t="s">
        <v>1111</v>
      </c>
      <c r="F309" s="2" t="s">
        <v>1686</v>
      </c>
      <c r="G309" s="2" t="s">
        <v>1666</v>
      </c>
      <c r="H309" s="2" t="s">
        <v>1667</v>
      </c>
      <c r="I309" s="2" t="s">
        <v>1424</v>
      </c>
      <c r="J309" s="2" t="s">
        <v>550</v>
      </c>
      <c r="K309" s="2" t="s">
        <v>1395</v>
      </c>
      <c r="L309" s="3">
        <f>IF(OR(TRIM(I309)="",TRIM(K309)=""),"",IFERROR((VALUE(LEFT(TRIM(I309),4))-VALUE(LEFT(TRIM(K309),4)))*12+VALUE(MID(TRIM(I309),6,2))-VALUE(MID(TRIM(K309),6,2)),""))</f>
        <v>0</v>
      </c>
      <c r="M309" s="2" t="str">
        <f>IF(TRIM(H309)="","",IFERROR(LOOKUP(2,1/(ISNUMBER(SEARCH('منطق دسته‌بندی'!$A$2:$A$187,H309))),'منطق دسته‌بندی'!$B$2:$B$187),"سایر (نیازمند بررسی دستی)"))</f>
        <v>کسری اقلام بسته‌بندی</v>
      </c>
      <c r="N309" s="2" t="s">
        <v>1603</v>
      </c>
      <c r="O309" s="2" t="str" cm="1">
        <f t="array" ref="O309">IF(A309="","",IF(SUMPRODUCT(($B$2:$B$965=B309)*($C$2:$C$965=C309)*($D$2:$D$965=D309)*($E$2:$E$965=E309)*($F$2:$F$965=F309)*($G$2:$G$965=G309)*($H$2:$H$965=H309)*($I$2:$I$965=I309)*($J$2:$J$965=J309)*($K$2:$K$965=K309)*($N$2:$N$965=N309))=1,"خیر",IF(SUMPRODUCT(($B$2:B309=B309)*($C$2:C309=C309)*($D$2:D309=D309)*($E$2:E309=E309)*($F$2:F309=F309)*($G$2:G309=G309)*($H$2:H309=H309)*($I$2:I309=I309)*($J$2:J309=J309)*($K$2:K309=K309)*($N$2:N309=N309))=1,"بله-1","بله")))</f>
        <v>خیر</v>
      </c>
      <c r="P309" s="5" t="str" cm="1">
        <f t="array" ref="P309">IF(A309="","",IF(SUMPRODUCT(($F$2:$F$969=F309)*($I$2:$I$969=I309))=1,"خیر",IF(SUMPRODUCT(($F$2:F309=F309)*($I$2:I309=I309))=1,"بله-1","بله")))</f>
        <v>خیر</v>
      </c>
    </row>
    <row r="310" spans="1:16" ht="37.5" x14ac:dyDescent="0.25">
      <c r="A310" s="2" t="s">
        <v>1110</v>
      </c>
      <c r="B310" s="2" t="s">
        <v>1040</v>
      </c>
      <c r="C310" s="2" t="s">
        <v>1041</v>
      </c>
      <c r="D310" s="2" t="s">
        <v>1356</v>
      </c>
      <c r="E310" s="2" t="s">
        <v>1111</v>
      </c>
      <c r="F310" s="2" t="s">
        <v>1112</v>
      </c>
      <c r="G310" s="2" t="s">
        <v>1113</v>
      </c>
      <c r="H310" s="2" t="s">
        <v>1114</v>
      </c>
      <c r="I310" s="2" t="s">
        <v>1092</v>
      </c>
      <c r="J310" s="2" t="s">
        <v>550</v>
      </c>
      <c r="K310" s="2" t="s">
        <v>1092</v>
      </c>
      <c r="L310" s="3">
        <f>IF(OR(TRIM(I310)="",TRIM(K310)=""),"",IFERROR((VALUE(LEFT(TRIM(I310),4))-VALUE(LEFT(TRIM(K310),4)))*12+VALUE(MID(TRIM(I310),6,2))-VALUE(MID(TRIM(K310),6,2)),""))</f>
        <v>0</v>
      </c>
      <c r="M310" s="2" t="str">
        <f>IF(TRIM(H310)="","",IFERROR(LOOKUP(2,1/(ISNUMBER(SEARCH('منطق دسته‌بندی'!$A$2:$A$187,H310))),'منطق دسته‌بندی'!$B$2:$B$187),"سایر (نیازمند بررسی دستی)"))</f>
        <v>کسری اقلام بسته‌بندی</v>
      </c>
      <c r="N310" s="2" t="s">
        <v>1115</v>
      </c>
      <c r="O310" s="2" t="str" cm="1">
        <f t="array" ref="O310">IF(A310="","",IF(SUMPRODUCT(($B$2:$B$965=B310)*($C$2:$C$965=C310)*($D$2:$D$965=D310)*($E$2:$E$965=E310)*($F$2:$F$965=F310)*($G$2:$G$965=G310)*($H$2:$H$965=H310)*($I$2:$I$965=I310)*($J$2:$J$965=J310)*($K$2:$K$965=K310)*($N$2:$N$965=N310))=1,"خیر",IF(SUMPRODUCT(($B$2:B310=B310)*($C$2:C310=C310)*($D$2:D310=D310)*($E$2:E310=E310)*($F$2:F310=F310)*($G$2:G310=G310)*($H$2:H310=H310)*($I$2:I310=I310)*($J$2:J310=J310)*($K$2:K310=K310)*($N$2:N310=N310))=1,"بله-1","بله")))</f>
        <v>خیر</v>
      </c>
      <c r="P310" s="5" t="str" cm="1">
        <f t="array" ref="P310">IF(A310="","",IF(SUMPRODUCT(($F$2:$F$969=F310)*($I$2:$I$969=I310))=1,"خیر",IF(SUMPRODUCT(($F$2:F310=F310)*($I$2:I310=I310))=1,"بله-1","بله")))</f>
        <v>خیر</v>
      </c>
    </row>
    <row r="311" spans="1:16" ht="37.5" x14ac:dyDescent="0.25">
      <c r="A311" s="2">
        <v>810006363</v>
      </c>
      <c r="B311" s="2" t="s">
        <v>1950</v>
      </c>
      <c r="C311" s="2" t="s">
        <v>1951</v>
      </c>
      <c r="D311" s="2" t="s">
        <v>1356</v>
      </c>
      <c r="E311" s="2" t="s">
        <v>1111</v>
      </c>
      <c r="F311" s="2" t="s">
        <v>1681</v>
      </c>
      <c r="G311" s="2" t="s">
        <v>1666</v>
      </c>
      <c r="H311" s="2" t="s">
        <v>1667</v>
      </c>
      <c r="I311" s="2" t="s">
        <v>1420</v>
      </c>
      <c r="J311" s="2" t="s">
        <v>1682</v>
      </c>
      <c r="K311" s="2" t="s">
        <v>1434</v>
      </c>
      <c r="L311" s="3">
        <f>IF(OR(TRIM(I311)="",TRIM(K311)=""),"",IFERROR((VALUE(LEFT(TRIM(I311),4))-VALUE(LEFT(TRIM(K311),4)))*12+VALUE(MID(TRIM(I311),6,2))-VALUE(MID(TRIM(K311),6,2)),""))</f>
        <v>1</v>
      </c>
      <c r="M311" s="2" t="str">
        <f>IF(TRIM(H311)="","",IFERROR(LOOKUP(2,1/(ISNUMBER(SEARCH('منطق دسته‌بندی'!$A$2:$A$187,H311))),'منطق دسته‌بندی'!$B$2:$B$187),"سایر (نیازمند بررسی دستی)"))</f>
        <v>کسری اقلام بسته‌بندی</v>
      </c>
      <c r="N311" s="2" t="s">
        <v>1603</v>
      </c>
      <c r="O311" s="2" t="str" cm="1">
        <f t="array" ref="O311">IF(A311="","",IF(SUMPRODUCT(($B$2:$B$965=B311)*($C$2:$C$965=C311)*($D$2:$D$965=D311)*($E$2:$E$965=E311)*($F$2:$F$965=F311)*($G$2:$G$965=G311)*($H$2:$H$965=H311)*($I$2:$I$965=I311)*($J$2:$J$965=J311)*($K$2:$K$965=K311)*($N$2:$N$965=N311))=1,"خیر",IF(SUMPRODUCT(($B$2:B311=B311)*($C$2:C311=C311)*($D$2:D311=D311)*($E$2:E311=E311)*($F$2:F311=F311)*($G$2:G311=G311)*($H$2:H311=H311)*($I$2:I311=I311)*($J$2:J311=J311)*($K$2:K311=K311)*($N$2:N311=N311))=1,"بله-1","بله")))</f>
        <v>خیر</v>
      </c>
      <c r="P311" s="5" t="str" cm="1">
        <f t="array" ref="P311">IF(A311="","",IF(SUMPRODUCT(($F$2:$F$969=F311)*($I$2:$I$969=I311))=1,"خیر",IF(SUMPRODUCT(($F$2:F311=F311)*($I$2:I311=I311))=1,"بله-1","بله")))</f>
        <v>خیر</v>
      </c>
    </row>
    <row r="312" spans="1:16" ht="18.75" x14ac:dyDescent="0.25">
      <c r="A312" s="2" t="s">
        <v>81</v>
      </c>
      <c r="B312" s="2" t="s">
        <v>16</v>
      </c>
      <c r="C312" s="2" t="s">
        <v>17</v>
      </c>
      <c r="D312" s="2" t="s">
        <v>1356</v>
      </c>
      <c r="E312" s="2" t="s">
        <v>82</v>
      </c>
      <c r="F312" s="2" t="s">
        <v>83</v>
      </c>
      <c r="G312" s="2" t="s">
        <v>84</v>
      </c>
      <c r="H312" s="2" t="s">
        <v>85</v>
      </c>
      <c r="I312" s="2" t="s">
        <v>47</v>
      </c>
      <c r="J312" s="2" t="s">
        <v>86</v>
      </c>
      <c r="K312" s="2" t="s">
        <v>87</v>
      </c>
      <c r="L312" s="3">
        <f>IF(OR(TRIM(I312)="",TRIM(K312)=""),"",IFERROR((VALUE(LEFT(TRIM(I312),4))-VALUE(LEFT(TRIM(K312),4)))*12+VALUE(MID(TRIM(I312),6,2))-VALUE(MID(TRIM(K312),6,2)),""))</f>
        <v>0</v>
      </c>
      <c r="M312" s="2" t="str">
        <f>IF(TRIM(H312)="","",IFERROR(LOOKUP(2,1/(ISNUMBER(SEARCH('منطق دسته‌بندی'!$A$2:$A$187,H312))),'منطق دسته‌بندی'!$B$2:$B$187),"سایر (نیازمند بررسی دستی)"))</f>
        <v>لاستیک درزگیر - دفرمگی/پارگی (تعویض)</v>
      </c>
      <c r="N312" s="2" t="s">
        <v>24</v>
      </c>
      <c r="O312" s="2" t="str" cm="1">
        <f t="array" ref="O312">IF(A312="","",IF(SUMPRODUCT(($B$2:$B$965=B312)*($C$2:$C$965=C312)*($D$2:$D$965=D312)*($E$2:$E$965=E312)*($F$2:$F$965=F312)*($G$2:$G$965=G312)*($H$2:$H$965=H312)*($I$2:$I$965=I312)*($J$2:$J$965=J312)*($K$2:$K$965=K312)*($N$2:$N$965=N312))=1,"خیر",IF(SUMPRODUCT(($B$2:B312=B312)*($C$2:C312=C312)*($D$2:D312=D312)*($E$2:E312=E312)*($F$2:F312=F312)*($G$2:G312=G312)*($H$2:H312=H312)*($I$2:I312=I312)*($J$2:J312=J312)*($K$2:K312=K312)*($N$2:N312=N312))=1,"بله-1","بله")))</f>
        <v>خیر</v>
      </c>
      <c r="P312" s="5" t="str" cm="1">
        <f t="array" ref="P312">IF(A312="","",IF(SUMPRODUCT(($F$2:$F$969=F312)*($I$2:$I$969=I312))=1,"خیر",IF(SUMPRODUCT(($F$2:F312=F312)*($I$2:I312=I312))=1,"بله-1","بله")))</f>
        <v>خیر</v>
      </c>
    </row>
    <row r="313" spans="1:16" ht="37.5" x14ac:dyDescent="0.25">
      <c r="A313" s="2">
        <v>130011774</v>
      </c>
      <c r="B313" s="2" t="s">
        <v>1950</v>
      </c>
      <c r="C313" s="2" t="s">
        <v>1951</v>
      </c>
      <c r="D313" s="2" t="s">
        <v>1356</v>
      </c>
      <c r="E313" s="2" t="s">
        <v>1111</v>
      </c>
      <c r="F313" s="2" t="s">
        <v>1683</v>
      </c>
      <c r="G313" s="2" t="s">
        <v>1641</v>
      </c>
      <c r="H313" s="2" t="s">
        <v>1667</v>
      </c>
      <c r="I313" s="2" t="s">
        <v>1399</v>
      </c>
      <c r="J313" s="2" t="s">
        <v>1684</v>
      </c>
      <c r="K313" s="2" t="s">
        <v>1395</v>
      </c>
      <c r="L313" s="3">
        <f>IF(OR(TRIM(I313)="",TRIM(K313)=""),"",IFERROR((VALUE(LEFT(TRIM(I313),4))-VALUE(LEFT(TRIM(K313),4)))*12+VALUE(MID(TRIM(I313),6,2))-VALUE(MID(TRIM(K313),6,2)),""))</f>
        <v>0</v>
      </c>
      <c r="M313" s="2" t="str">
        <f>IF(TRIM(H313)="","",IFERROR(LOOKUP(2,1/(ISNUMBER(SEARCH('منطق دسته‌بندی'!$A$2:$A$187,H313))),'منطق دسته‌بندی'!$B$2:$B$187),"سایر (نیازمند بررسی دستی)"))</f>
        <v>کسری اقلام بسته‌بندی</v>
      </c>
      <c r="N313" s="2" t="s">
        <v>1603</v>
      </c>
      <c r="O313" s="2" t="str" cm="1">
        <f t="array" ref="O313">IF(A313="","",IF(SUMPRODUCT(($B$2:$B$965=B313)*($C$2:$C$965=C313)*($D$2:$D$965=D313)*($E$2:$E$965=E313)*($F$2:$F$965=F313)*($G$2:$G$965=G313)*($H$2:$H$965=H313)*($I$2:$I$965=I313)*($J$2:$J$965=J313)*($K$2:$K$965=K313)*($N$2:$N$965=N313))=1,"خیر",IF(SUMPRODUCT(($B$2:B313=B313)*($C$2:C313=C313)*($D$2:D313=D313)*($E$2:E313=E313)*($F$2:F313=F313)*($G$2:G313=G313)*($H$2:H313=H313)*($I$2:I313=I313)*($J$2:J313=J313)*($K$2:K313=K313)*($N$2:N313=N313))=1,"بله-1","بله")))</f>
        <v>خیر</v>
      </c>
      <c r="P313" s="5" t="str" cm="1">
        <f t="array" ref="P313">IF(A313="","",IF(SUMPRODUCT(($F$2:$F$969=F313)*($I$2:$I$969=I313))=1,"خیر",IF(SUMPRODUCT(($F$2:F313=F313)*($I$2:I313=I313))=1,"بله-1","بله")))</f>
        <v>خیر</v>
      </c>
    </row>
    <row r="314" spans="1:16" ht="18.75" x14ac:dyDescent="0.25">
      <c r="A314" s="2" t="s">
        <v>837</v>
      </c>
      <c r="B314" s="2" t="s">
        <v>632</v>
      </c>
      <c r="C314" s="2" t="s">
        <v>633</v>
      </c>
      <c r="D314" s="2" t="s">
        <v>1356</v>
      </c>
      <c r="E314" s="2" t="s">
        <v>838</v>
      </c>
      <c r="F314" s="2" t="s">
        <v>839</v>
      </c>
      <c r="G314" s="2" t="s">
        <v>27</v>
      </c>
      <c r="H314" s="2" t="s">
        <v>139</v>
      </c>
      <c r="I314" s="2" t="s">
        <v>835</v>
      </c>
      <c r="J314" s="2" t="s">
        <v>770</v>
      </c>
      <c r="K314" s="2" t="s">
        <v>840</v>
      </c>
      <c r="L314" s="3">
        <f>IF(OR(TRIM(I314)="",TRIM(K314)=""),"",IFERROR((VALUE(LEFT(TRIM(I314),4))-VALUE(LEFT(TRIM(K314),4)))*12+VALUE(MID(TRIM(I314),6,2))-VALUE(MID(TRIM(K314),6,2)),""))</f>
        <v>2</v>
      </c>
      <c r="M314" s="2" t="str">
        <f>IF(TRIM(H314)="","",IFERROR(LOOKUP(2,1/(ISNUMBER(SEARCH('منطق دسته‌بندی'!$A$2:$A$187,H314))),'منطق دسته‌بندی'!$B$2:$B$187),"سایر (نیازمند بررسی دستی)"))</f>
        <v>تراز/لرزش - نصب (رگلاژ پایه)</v>
      </c>
      <c r="N314" s="2" t="s">
        <v>158</v>
      </c>
      <c r="O314" s="2" t="str" cm="1">
        <f t="array" ref="O314">IF(A314="","",IF(SUMPRODUCT(($B$2:$B$965=B314)*($C$2:$C$965=C314)*($D$2:$D$965=D314)*($E$2:$E$965=E314)*($F$2:$F$965=F314)*($G$2:$G$965=G314)*($H$2:$H$965=H314)*($I$2:$I$965=I314)*($J$2:$J$965=J314)*($K$2:$K$965=K314)*($N$2:$N$965=N314))=1,"خیر",IF(SUMPRODUCT(($B$2:B314=B314)*($C$2:C314=C314)*($D$2:D314=D314)*($E$2:E314=E314)*($F$2:F314=F314)*($G$2:G314=G314)*($H$2:H314=H314)*($I$2:I314=I314)*($J$2:J314=J314)*($K$2:K314=K314)*($N$2:N314=N314))=1,"بله-1","بله")))</f>
        <v>خیر</v>
      </c>
      <c r="P314" s="5" t="str" cm="1">
        <f t="array" ref="P314">IF(A314="","",IF(SUMPRODUCT(($F$2:$F$969=F314)*($I$2:$I$969=I314))=1,"خیر",IF(SUMPRODUCT(($F$2:F314=F314)*($I$2:I314=I314))=1,"بله-1","بله")))</f>
        <v>خیر</v>
      </c>
    </row>
    <row r="315" spans="1:16" ht="37.5" x14ac:dyDescent="0.25">
      <c r="A315" s="2">
        <v>210023787</v>
      </c>
      <c r="B315" s="2" t="s">
        <v>1950</v>
      </c>
      <c r="C315" s="2" t="s">
        <v>1951</v>
      </c>
      <c r="D315" s="2" t="s">
        <v>1356</v>
      </c>
      <c r="E315" s="15" t="s">
        <v>838</v>
      </c>
      <c r="F315" s="2" t="s">
        <v>1665</v>
      </c>
      <c r="G315" s="2" t="s">
        <v>1666</v>
      </c>
      <c r="H315" s="2" t="s">
        <v>1667</v>
      </c>
      <c r="I315" s="2" t="s">
        <v>1360</v>
      </c>
      <c r="J315" s="2" t="s">
        <v>1668</v>
      </c>
      <c r="K315" s="2"/>
      <c r="L315" s="3" t="str">
        <f>IF(OR(TRIM(I315)="",TRIM(K315)=""),"",IFERROR((VALUE(LEFT(TRIM(I315),4))-VALUE(LEFT(TRIM(K315),4)))*12+VALUE(MID(TRIM(I315),6,2))-VALUE(MID(TRIM(K315),6,2)),""))</f>
        <v/>
      </c>
      <c r="M315" s="2" t="str">
        <f>IF(TRIM(H315)="","",IFERROR(LOOKUP(2,1/(ISNUMBER(SEARCH('منطق دسته‌بندی'!$A$2:$A$187,H315))),'منطق دسته‌بندی'!$B$2:$B$187),"سایر (نیازمند بررسی دستی)"))</f>
        <v>کسری اقلام بسته‌بندی</v>
      </c>
      <c r="N315" s="2" t="s">
        <v>1603</v>
      </c>
      <c r="O315" s="2" t="str" cm="1">
        <f t="array" ref="O315">IF(A315="","",IF(SUMPRODUCT(($B$2:$B$965=B315)*($C$2:$C$965=C315)*($D$2:$D$965=D315)*($E$2:$E$965=E315)*($F$2:$F$965=F315)*($G$2:$G$965=G315)*($H$2:$H$965=H315)*($I$2:$I$965=I315)*($J$2:$J$965=J315)*($K$2:$K$965=K315)*($N$2:$N$965=N315))=1,"خیر",IF(SUMPRODUCT(($B$2:B315=B315)*($C$2:C315=C315)*($D$2:D315=D315)*($E$2:E315=E315)*($F$2:F315=F315)*($G$2:G315=G315)*($H$2:H315=H315)*($I$2:I315=I315)*($J$2:J315=J315)*($K$2:K315=K315)*($N$2:N315=N315))=1,"بله-1","بله")))</f>
        <v>خیر</v>
      </c>
      <c r="P315" s="5" t="str" cm="1">
        <f t="array" ref="P315">IF(A315="","",IF(SUMPRODUCT(($F$2:$F$969=F315)*($I$2:$I$969=I315))=1,"خیر",IF(SUMPRODUCT(($F$2:F315=F315)*($I$2:I315=I315))=1,"بله-1","بله")))</f>
        <v>خیر</v>
      </c>
    </row>
    <row r="316" spans="1:16" ht="18.75" x14ac:dyDescent="0.25">
      <c r="A316" s="2" t="s">
        <v>808</v>
      </c>
      <c r="B316" s="2" t="s">
        <v>632</v>
      </c>
      <c r="C316" s="2" t="s">
        <v>633</v>
      </c>
      <c r="D316" s="2" t="s">
        <v>1356</v>
      </c>
      <c r="E316" s="2" t="s">
        <v>153</v>
      </c>
      <c r="F316" s="2" t="s">
        <v>809</v>
      </c>
      <c r="G316" s="2" t="s">
        <v>810</v>
      </c>
      <c r="H316" s="2" t="s">
        <v>811</v>
      </c>
      <c r="I316" s="2" t="s">
        <v>812</v>
      </c>
      <c r="J316" s="2" t="s">
        <v>813</v>
      </c>
      <c r="K316" s="2" t="s">
        <v>814</v>
      </c>
      <c r="L316" s="3">
        <f>IF(OR(TRIM(I316)="",TRIM(K316)=""),"",IFERROR((VALUE(LEFT(TRIM(I316),4))-VALUE(LEFT(TRIM(K316),4)))*12+VALUE(MID(TRIM(I316),6,2))-VALUE(MID(TRIM(K316),6,2)),""))</f>
        <v>5</v>
      </c>
      <c r="M316" s="2" t="str">
        <f>IF(TRIM(H316)="","",IFERROR(LOOKUP(2,1/(ISNUMBER(SEARCH('منطق دسته‌بندی'!$A$2:$A$187,H316))),'منطق دسته‌بندی'!$B$2:$B$187),"سایر (نیازمند بررسی دستی)"))</f>
        <v>خرابی - برد الکترونیک (تعویض)</v>
      </c>
      <c r="N316" s="2" t="s">
        <v>40</v>
      </c>
      <c r="O316" s="2" t="str" cm="1">
        <f t="array" ref="O316">IF(A316="","",IF(SUMPRODUCT(($B$2:$B$965=B316)*($C$2:$C$965=C316)*($D$2:$D$965=D316)*($E$2:$E$965=E316)*($F$2:$F$965=F316)*($G$2:$G$965=G316)*($H$2:$H$965=H316)*($I$2:$I$965=I316)*($J$2:$J$965=J316)*($K$2:$K$965=K316)*($N$2:$N$965=N316))=1,"خیر",IF(SUMPRODUCT(($B$2:B316=B316)*($C$2:C316=C316)*($D$2:D316=D316)*($E$2:E316=E316)*($F$2:F316=F316)*($G$2:G316=G316)*($H$2:H316=H316)*($I$2:I316=I316)*($J$2:J316=J316)*($K$2:K316=K316)*($N$2:N316=N316))=1,"بله-1","بله")))</f>
        <v>خیر</v>
      </c>
      <c r="P316" s="5" t="str" cm="1">
        <f t="array" ref="P316">IF(A316="","",IF(SUMPRODUCT(($F$2:$F$969=F316)*($I$2:$I$969=I316))=1,"خیر",IF(SUMPRODUCT(($F$2:F316=F316)*($I$2:I316=I316))=1,"بله-1","بله")))</f>
        <v>خیر</v>
      </c>
    </row>
    <row r="317" spans="1:16" ht="18.75" x14ac:dyDescent="0.25">
      <c r="A317" s="2" t="s">
        <v>897</v>
      </c>
      <c r="B317" s="2" t="s">
        <v>881</v>
      </c>
      <c r="C317" s="2" t="s">
        <v>882</v>
      </c>
      <c r="D317" s="2" t="s">
        <v>1356</v>
      </c>
      <c r="E317" s="2" t="s">
        <v>153</v>
      </c>
      <c r="F317" s="2" t="s">
        <v>809</v>
      </c>
      <c r="G317" s="2" t="s">
        <v>898</v>
      </c>
      <c r="H317" s="2" t="s">
        <v>899</v>
      </c>
      <c r="I317" s="2" t="s">
        <v>888</v>
      </c>
      <c r="J317" s="2" t="s">
        <v>813</v>
      </c>
      <c r="K317" s="2" t="s">
        <v>814</v>
      </c>
      <c r="L317" s="3">
        <f>IF(OR(TRIM(I317)="",TRIM(K317)=""),"",IFERROR((VALUE(LEFT(TRIM(I317),4))-VALUE(LEFT(TRIM(K317),4)))*12+VALUE(MID(TRIM(I317),6,2))-VALUE(MID(TRIM(K317),6,2)),""))</f>
        <v>6</v>
      </c>
      <c r="M317" s="2" t="str">
        <f>IF(TRIM(H317)="","",IFERROR(LOOKUP(2,1/(ISNUMBER(SEARCH('منطق دسته‌بندی'!$A$2:$A$187,H317))),'منطق دسته‌بندی'!$B$2:$B$187),"سایر (نیازمند بررسی دستی)"))</f>
        <v>خرابی - موتور (تعویض)</v>
      </c>
      <c r="N317" s="2" t="s">
        <v>900</v>
      </c>
      <c r="O317" s="2" t="str" cm="1">
        <f t="array" ref="O317">IF(A317="","",IF(SUMPRODUCT(($B$2:$B$965=B317)*($C$2:$C$965=C317)*($D$2:$D$965=D317)*($E$2:$E$965=E317)*($F$2:$F$965=F317)*($G$2:$G$965=G317)*($H$2:$H$965=H317)*($I$2:$I$965=I317)*($J$2:$J$965=J317)*($K$2:$K$965=K317)*($N$2:$N$965=N317))=1,"خیر",IF(SUMPRODUCT(($B$2:B317=B317)*($C$2:C317=C317)*($D$2:D317=D317)*($E$2:E317=E317)*($F$2:F317=F317)*($G$2:G317=G317)*($H$2:H317=H317)*($I$2:I317=I317)*($J$2:J317=J317)*($K$2:K317=K317)*($N$2:N317=N317))=1,"بله-1","بله")))</f>
        <v>خیر</v>
      </c>
      <c r="P317" s="5" t="str" cm="1">
        <f t="array" ref="P317">IF(A317="","",IF(SUMPRODUCT(($F$2:$F$969=F317)*($I$2:$I$969=I317))=1,"خیر",IF(SUMPRODUCT(($F$2:F317=F317)*($I$2:I317=I317))=1,"بله-1","بله")))</f>
        <v>خیر</v>
      </c>
    </row>
    <row r="318" spans="1:16" ht="37.5" x14ac:dyDescent="0.25">
      <c r="A318" s="2" t="s">
        <v>1204</v>
      </c>
      <c r="B318" s="2" t="s">
        <v>1040</v>
      </c>
      <c r="C318" s="2" t="s">
        <v>1041</v>
      </c>
      <c r="D318" s="2" t="s">
        <v>1356</v>
      </c>
      <c r="E318" s="2" t="s">
        <v>1196</v>
      </c>
      <c r="F318" s="2" t="s">
        <v>1205</v>
      </c>
      <c r="G318" s="2" t="s">
        <v>1206</v>
      </c>
      <c r="H318" s="2" t="s">
        <v>1207</v>
      </c>
      <c r="I318" s="2" t="s">
        <v>1185</v>
      </c>
      <c r="J318" s="2" t="s">
        <v>813</v>
      </c>
      <c r="K318" s="2" t="s">
        <v>1156</v>
      </c>
      <c r="L318" s="3">
        <f>IF(OR(TRIM(I318)="",TRIM(K318)=""),"",IFERROR((VALUE(LEFT(TRIM(I318),4))-VALUE(LEFT(TRIM(K318),4)))*12+VALUE(MID(TRIM(I318),6,2))-VALUE(MID(TRIM(K318),6,2)),""))</f>
        <v>0</v>
      </c>
      <c r="M318" s="2" t="str">
        <f>IF(TRIM(H318)="","",IFERROR(LOOKUP(2,1/(ISNUMBER(SEARCH('منطق دسته‌بندی'!$A$2:$A$187,H318))),'منطق دسته‌بندی'!$B$2:$B$187),"سایر (نیازمند بررسی دستی)"))</f>
        <v>خرابی - موتور (تعویض)</v>
      </c>
      <c r="N318" s="2" t="s">
        <v>1208</v>
      </c>
      <c r="O318" s="2" t="str" cm="1">
        <f t="array" ref="O318">IF(A318="","",IF(SUMPRODUCT(($B$2:$B$965=B318)*($C$2:$C$965=C318)*($D$2:$D$965=D318)*($E$2:$E$965=E318)*($F$2:$F$965=F318)*($G$2:$G$965=G318)*($H$2:$H$965=H318)*($I$2:$I$965=I318)*($J$2:$J$965=J318)*($K$2:$K$965=K318)*($N$2:$N$965=N318))=1,"خیر",IF(SUMPRODUCT(($B$2:B318=B318)*($C$2:C318=C318)*($D$2:D318=D318)*($E$2:E318=E318)*($F$2:F318=F318)*($G$2:G318=G318)*($H$2:H318=H318)*($I$2:I318=I318)*($J$2:J318=J318)*($K$2:K318=K318)*($N$2:N318=N318))=1,"بله-1","بله")))</f>
        <v>خیر</v>
      </c>
      <c r="P318" s="5" t="str" cm="1">
        <f t="array" ref="P318">IF(A318="","",IF(SUMPRODUCT(($F$2:$F$969=F318)*($I$2:$I$969=I318))=1,"خیر",IF(SUMPRODUCT(($F$2:F318=F318)*($I$2:I318=I318))=1,"بله-1","بله")))</f>
        <v>خیر</v>
      </c>
    </row>
    <row r="319" spans="1:16" ht="18.75" x14ac:dyDescent="0.25">
      <c r="A319" s="2" t="s">
        <v>551</v>
      </c>
      <c r="B319" s="2" t="s">
        <v>16</v>
      </c>
      <c r="C319" s="2" t="s">
        <v>17</v>
      </c>
      <c r="D319" s="2" t="s">
        <v>1356</v>
      </c>
      <c r="E319" s="2" t="s">
        <v>153</v>
      </c>
      <c r="F319" s="2" t="s">
        <v>552</v>
      </c>
      <c r="G319" s="2" t="s">
        <v>214</v>
      </c>
      <c r="H319" s="2" t="s">
        <v>389</v>
      </c>
      <c r="I319" s="2" t="s">
        <v>549</v>
      </c>
      <c r="J319" s="2" t="s">
        <v>553</v>
      </c>
      <c r="K319" s="2" t="s">
        <v>554</v>
      </c>
      <c r="L319" s="3">
        <f>IF(OR(TRIM(I319)="",TRIM(K319)=""),"",IFERROR((VALUE(LEFT(TRIM(I319),4))-VALUE(LEFT(TRIM(K319),4)))*12+VALUE(MID(TRIM(I319),6,2))-VALUE(MID(TRIM(K319),6,2)),""))</f>
        <v>21</v>
      </c>
      <c r="M319" s="2" t="str">
        <f>IF(TRIM(H319)="","",IFERROR(LOOKUP(2,1/(ISNUMBER(SEARCH('منطق دسته‌بندی'!$A$2:$A$187,H319))),'منطق دسته‌بندی'!$B$2:$B$187),"سایر (نیازمند بررسی دستی)"))</f>
        <v>خرابی - تاب برداشتن درام (تعویض)</v>
      </c>
      <c r="N319" s="2" t="s">
        <v>392</v>
      </c>
      <c r="O319" s="2" t="str" cm="1">
        <f t="array" ref="O319">IF(A319="","",IF(SUMPRODUCT(($B$2:$B$965=B319)*($C$2:$C$965=C319)*($D$2:$D$965=D319)*($E$2:$E$965=E319)*($F$2:$F$965=F319)*($G$2:$G$965=G319)*($H$2:$H$965=H319)*($I$2:$I$965=I319)*($J$2:$J$965=J319)*($K$2:$K$965=K319)*($N$2:$N$965=N319))=1,"خیر",IF(SUMPRODUCT(($B$2:B319=B319)*($C$2:C319=C319)*($D$2:D319=D319)*($E$2:E319=E319)*($F$2:F319=F319)*($G$2:G319=G319)*($H$2:H319=H319)*($I$2:I319=I319)*($J$2:J319=J319)*($K$2:K319=K319)*($N$2:N319=N319))=1,"بله-1","بله")))</f>
        <v>خیر</v>
      </c>
      <c r="P319" s="5" t="str" cm="1">
        <f t="array" ref="P319">IF(A319="","",IF(SUMPRODUCT(($F$2:$F$969=F319)*($I$2:$I$969=I319))=1,"خیر",IF(SUMPRODUCT(($F$2:F319=F319)*($I$2:I319=I319))=1,"بله-1","بله")))</f>
        <v>خیر</v>
      </c>
    </row>
    <row r="320" spans="1:16" ht="37.5" x14ac:dyDescent="0.25">
      <c r="A320" s="2">
        <v>210023885</v>
      </c>
      <c r="B320" s="2" t="s">
        <v>1950</v>
      </c>
      <c r="C320" s="2" t="s">
        <v>1951</v>
      </c>
      <c r="D320" s="2" t="s">
        <v>1356</v>
      </c>
      <c r="E320" s="2" t="s">
        <v>1196</v>
      </c>
      <c r="F320" s="2" t="s">
        <v>552</v>
      </c>
      <c r="G320" s="2" t="s">
        <v>1522</v>
      </c>
      <c r="H320" s="2" t="s">
        <v>389</v>
      </c>
      <c r="I320" s="2" t="s">
        <v>1420</v>
      </c>
      <c r="J320" s="2" t="s">
        <v>553</v>
      </c>
      <c r="K320" s="2" t="s">
        <v>650</v>
      </c>
      <c r="L320" s="3">
        <f>IF(OR(TRIM(I320)="",TRIM(K320)=""),"",IFERROR((VALUE(LEFT(TRIM(I320),4))-VALUE(LEFT(TRIM(K320),4)))*12+VALUE(MID(TRIM(I320),6,2))-VALUE(MID(TRIM(K320),6,2)),""))</f>
        <v>10</v>
      </c>
      <c r="M320" s="2" t="str">
        <f>IF(TRIM(H320)="","",IFERROR(LOOKUP(2,1/(ISNUMBER(SEARCH('منطق دسته‌بندی'!$A$2:$A$187,H320))),'منطق دسته‌بندی'!$B$2:$B$187),"سایر (نیازمند بررسی دستی)"))</f>
        <v>خرابی - تاب برداشتن درام (تعویض)</v>
      </c>
      <c r="N320" s="2" t="s">
        <v>1617</v>
      </c>
      <c r="O320" s="2" t="str" cm="1">
        <f t="array" ref="O320">IF(A320="","",IF(SUMPRODUCT(($B$2:$B$965=B320)*($C$2:$C$965=C320)*($D$2:$D$965=D320)*($E$2:$E$965=E320)*($F$2:$F$965=F320)*($G$2:$G$965=G320)*($H$2:$H$965=H320)*($I$2:$I$965=I320)*($J$2:$J$965=J320)*($K$2:$K$965=K320)*($N$2:$N$965=N320))=1,"خیر",IF(SUMPRODUCT(($B$2:B320=B320)*($C$2:C320=C320)*($D$2:D320=D320)*($E$2:E320=E320)*($F$2:F320=F320)*($G$2:G320=G320)*($H$2:H320=H320)*($I$2:I320=I320)*($J$2:J320=J320)*($K$2:K320=K320)*($N$2:N320=N320))=1,"بله-1","بله")))</f>
        <v>خیر</v>
      </c>
      <c r="P320" s="5" t="str" cm="1">
        <f t="array" ref="P320">IF(A320="","",IF(SUMPRODUCT(($F$2:$F$969=F320)*($I$2:$I$969=I320))=1,"خیر",IF(SUMPRODUCT(($F$2:F320=F320)*($I$2:I320=I320))=1,"بله-1","بله")))</f>
        <v>خیر</v>
      </c>
    </row>
    <row r="321" spans="1:16" ht="18.75" x14ac:dyDescent="0.25">
      <c r="A321" s="2">
        <v>310010890</v>
      </c>
      <c r="B321" s="2" t="s">
        <v>1950</v>
      </c>
      <c r="C321" s="2" t="s">
        <v>1951</v>
      </c>
      <c r="D321" s="2" t="s">
        <v>1356</v>
      </c>
      <c r="E321" s="2" t="s">
        <v>1362</v>
      </c>
      <c r="F321" s="2" t="s">
        <v>1960</v>
      </c>
      <c r="G321" s="2" t="s">
        <v>1978</v>
      </c>
      <c r="H321" s="2" t="s">
        <v>1988</v>
      </c>
      <c r="I321" s="2" t="s">
        <v>2000</v>
      </c>
      <c r="J321" s="2" t="s">
        <v>2003</v>
      </c>
      <c r="K321" s="2" t="s">
        <v>1517</v>
      </c>
      <c r="L321" s="3">
        <f>IF(OR(TRIM(I321)="",TRIM(K321)=""),"",IFERROR((VALUE(LEFT(TRIM(I321),4))-VALUE(LEFT(TRIM(K321),4)))*12+VALUE(MID(TRIM(I321),6,2))-VALUE(MID(TRIM(K321),6,2)),""))</f>
        <v>11</v>
      </c>
      <c r="M321" s="2" t="str">
        <f>IF(OR(ISNUMBER(SEARCH("بدون مورد",H321)),ISNUMBER(SEARCH("غير گارانتي",H321)),ISNUMBER(SEARCH("غیر گارانتی",H321)),ISNUMBER(SEARCH("بدون اجرت",H321)),ISNUMBER(SEARCH("فيلتر",H321)),ISNUMBER(SEARCH("فیلتر",H321))),"غیرگارانتی/بدون قطعه",IF(OR(ISNUMBER(SEARCH("ريست",H321)),ISNUMBER(SEARCH("ریست",H321))),"ریست نرم‌افزاری (بدون قطعه)",IF(OR(ISNUMBER(SEARCH("تعویض محصول",H321)),ISNUMBER(SEARCH("تعویض دستگاه",H321))),"تعویض کامل دستگاه (Replacement)",IF(ISNUMBER(SEARCH("پمپ",H321)),IF(ISNUMBER(SEARCH("نشت",H321)),"نشتی - پمپ تخلیه (تعمیر/آب‌بندی)","خرابی - پمپ تخلیه (تعویض)"),IF(ISNUMBER(SEARCH("کمپرسور",H321)),"خرابی - کمپرسور (تعویض)",IF(ISNUMBER(SEARCH("کمک فنر",H321)),"خرابی - کمک فنر (تعویض)",IF(ISNUMBER(SEARCH("لولا",H321)),"مکانیزم درب - لولا (تعویض)",IF(OR(ISNUMBER(SEARCH("قلاب",H321)),ISNUMBER(SEARCH("ميکروسوئيچ",H321)),ISNUMBER(SEARCH("میکروسوئیچ",H321))),"مکانیزم درب - میکروسوئیچ/قلاب (تعویض/تنظیم)",IF(ISNUMBER(SEARCH("زبانه",H321)),"مکانیزم درب - زبانه (تعویض)",IF(OR(ISNUMBER(SEARCH("شيلنگ",H321)),ISNUMBER(SEARCH("شیلنگ",H321))),IF(OR(ISNUMBER(SEARCH("نشتی",H321)),ISNUMBER(SEARCH("نشتي",H321))),"نشتی - شیلنگ (تعمیر/آب‌بندی)",IF(OR(ISNUMBER(SEARCH("يخ",H321)),ISNUMBER(SEARCH("یخ",H321))),"شیلنگ یخساز - یخ‌زدگی (بازبینی)","شیلنگ - برخورد/لهیدگی (بازبینی)")),IF(OR(ISNUMBER(SEARCH("تنظيم ديسپل",H321)),ISNUMBER(SEARCH("تنظیم دیسپل",H321)),ISNUMBER(SEARCH("تنظيم صفحه نمايش",H321)),ISNUMBER(SEARCH("تنظیم صفحه نمایش",H321))),"تنظیم - تنظیمات دستگاه/دیسپلی (تعمیر)",IF(OR(ISNUMBER(SEARCH("برد",H321)),ISNUMBER(SEARCH("سوکت",H321)),ISNUMBER(SEARCH("ديسپل",H321)),ISNUMBER(SEARCH("دیسپل",H321))),"خرابی - برد الکترونیک (تعویض)",IF(OR(ISNUMBER(SEARCH("يخساز",H321)),ISNUMBER(SEARCH("یخساز",H321)),ISNUMBER(SEARCH("دمپر",H321))),IF(OR(ISNUMBER(SEARCH("خرابی",H321)),ISNUMBER(SEARCH("خراب",H321)),ISNUMBER(SEARCH("عدم کارکرد",H321)),ISNUMBER(SEARCH("عدم عملکرد",H321))),"یخساز - خرابی موتور/سنسور/برد (تعویض)","یخساز - تنظیم/عایق (تعمیر)"),IF(OR(ISNUMBER(SEARCH("لاستيک",H321)),ISNUMBER(SEARCH("لاستیک",H321))),"لاستیک درزگیر - دفرمگی/پارگی (تعویض)",IF(OR(ISNUMBER(SEARCH("گسکت",H321)),ISNUMBER(SEARCH("گسگت",H321))),"لاستیک درزگیر - دفرمگی/پارگی (تعویض)",IF(ISNUMBER(SEARCH("مخزن نمک",H321)),"نشتی - درب مخزن نمک (تعمیر/آب‌بندی)",IF(ISNUMBER(SEARCH("براکت",H321)),"نشتی - براکت ریل (تعمیر/آب‌بندی)",IF(ISNUMBER(SEARCH("جاپودر",H321)),"نشتی - جاپودری (تعمیر/آب‌بندی)",IF(ISNUMBER(SEARCH("مقسم",H321)),"نشتی - مقسم آب (تعمیر/آب‌بندی)",IF(OR(ISNUMBER(SEARCH("سنسور دما",H321)),ISNUMBER(SEARCH("ترموستات",H321))),"خرابی - ترموستات (تعویض)",IF(OR(ISNUMBER(SEARCH("هيدروستات",H321)),ISNUMBER(SEARCH("هیدروستات",H321))),"خرابی - هیدروستات (تعویض)",IF(OR(ISNUMBER(SEARCH("بلبرينگ",H321)),ISNUMBER(SEARCH("بلبرینگ",H321))),"خرابی - بلبرینگ (تعویض)",IF(OR(ISNUMBER(SEARCH("شيربرق",H321)),ISNUMBER(SEARCH("شیربرق",H321))),"خرابی - شیربرقی (تعویض)",IF(OR(ISNUMBER(SEARCH("واتر جت",H321)),ISNUMBER(SEARCH("واترجت",H321))),"خرابی - واترجت (تعویض)",IF(OR(ISNUMBER(SEARCH("سيم",H321)),ISNUMBER(SEARCH("سیم",H321)),ISNUMBER(SEARCH("اتصال",H321))),"سیم‌کشی/اتصالات (تعویض/بازبینی)",IF(OR(ISNUMBER(SEARCH("تصوير",H321)),ISNUMBER(SEARCH("تصویر",H321))),"برد نمایش تلویزیون (تعویض)",IF(OR(ISNUMBER(SEARCH("ريموت",H321)),ISNUMBER(SEARCH("ریموت",H321))),"ریموت کنترل (تعویض/تعمیر)",IF(OR(ISNUMBER(SEARCH("ال اي دي",H321)),ISNUMBER(SEARCH("ال ای دی",H321)),ISNUMBER(SEARCH("LED",H321))),"خرابی - لامپ/LED داخلی (تعویض)",IF(ISNUMBER(SEARCH("زنگ زدگ",H321)),"زنگ‌زدگی بدنه/قطعه (تعویض)",IF(OR(ISNUMBER(SEARCH("قطعات تزئين",H321)),ISNUMBER(SEARCH("قطعات تزئین",H321))),"قطعات تزئینی - شکستگی/کسری (تعویض)",IF(ISNUMBER(SEARCH("سبد",H321)),"سبد ظرفشویی - شکستگی (تعویض)",IF(ISNUMBER(SEARCH("تاب درام",H321)),"خرابی - تاب برداشتن درام (تعویض)",IF(ISNUMBER(SEARCH("درام",H321)),"خرابی - سایر ایراد درام (تعویض)",IF(ISNUMBER(SEARCH("موتور",H321)),"خرابی - موتور (تعویض)",IF(ISNUMBER(SEARCH("تسمه",H321)),"خرابی - تسمه (تعویض)",IF(OR(ISNUMBER(SEARCH("پيچ ولوم",H321)),ISNUMBER(SEARCH("پیچ ولوم",H321))),"تنظیم - پیچ ولوم/دکمه (تعمیر)",IF(OR(ISNUMBER(SEARCH("کسري قطعات",H321)),ISNUMBER(SEARCH("کسری قطعات",H321))),"کسری قطعات تزئینی (تعویض)",IF(ISNUMBER(SEARCH("پرچ",H321)),"پرچ/بدنه کابین(تعمیر)",IF(OR(ISNUMBER(SEARCH("نشت",H321)),ISNUMBER(SEARCH("آبريزش",H321)),ISNUMBER(SEARCH("آبریزش",H321))),"نشتی آب - محل نامشخص (نیازمند بازدید)",IF(ISNUMBER(SEARCH("درب",H321)),"سایر اجزای درب (بازبینی)",IF(ISNUMBER(SEARCH("ضربه",H321)),"بدنه/کابین - ضربه (بازبینی/تعویض پنل)",IF(ISNUMBER(SEARCH("تراز",H321)),"تراز/لرزش - نصب (رگلاژ پایه)",IF(OR(ISNUMBER(SEARCH("تعویض",H321)),ISNUMBER(SEARCH("تعويض",H321))),"تعویض کامل دستگاه (Replacement)","سایر (نیازمند بررسی دستی)")))))))))))))))))))))))))))))))))))))))))))</f>
        <v>خرابی - برد الکترونیک (تعویض)</v>
      </c>
      <c r="N321" s="2" t="s">
        <v>2014</v>
      </c>
      <c r="O321" s="2" t="str" cm="1">
        <f t="array" ref="O321">IF(A321="","",IF(SUMPRODUCT(($B$2:$B$965=B321)*($C$2:$C$965=C321)*($D$2:$D$965=D321)*($E$2:$E$965=E321)*($F$2:$F$965=F321)*($G$2:$G$965=G321)*($H$2:$H$965=H321)*($I$2:$I$965=I321)*($J$2:$J$965=J321)*($K$2:$K$965=K321)*($N$2:$N$965=N321))=1,"خیر",IF(SUMPRODUCT(($B$2:B321=B321)*($C$2:C321=C321)*($D$2:D321=D321)*($E$2:E321=E321)*($F$2:F321=F321)*($G$2:G321=G321)*($H$2:H321=H321)*($I$2:I321=I321)*($J$2:J321=J321)*($K$2:K321=K321)*($N$2:N321=N321))=1,"بله-1","بله")))</f>
        <v>خیر</v>
      </c>
      <c r="P321" s="5" t="str" cm="1">
        <f t="array" ref="P321">IF(A321="","",IF(SUMPRODUCT(($F$2:$F$969=F321)*($I$2:$I$969=I321))=1,"خیر",IF(SUMPRODUCT(($F$2:F321=F321)*($I$2:I321=I321))=1,"بله-1","بله")))</f>
        <v>خیر</v>
      </c>
    </row>
    <row r="322" spans="1:16" ht="18.75" x14ac:dyDescent="0.25">
      <c r="A322" s="2" t="s">
        <v>208</v>
      </c>
      <c r="B322" s="2" t="s">
        <v>16</v>
      </c>
      <c r="C322" s="2" t="s">
        <v>17</v>
      </c>
      <c r="D322" s="2" t="s">
        <v>1356</v>
      </c>
      <c r="E322" s="2" t="s">
        <v>153</v>
      </c>
      <c r="F322" s="2" t="s">
        <v>209</v>
      </c>
      <c r="G322" s="2" t="s">
        <v>100</v>
      </c>
      <c r="H322" s="2" t="s">
        <v>210</v>
      </c>
      <c r="I322" s="2" t="s">
        <v>47</v>
      </c>
      <c r="J322" s="2" t="s">
        <v>211</v>
      </c>
      <c r="K322" s="2" t="s">
        <v>212</v>
      </c>
      <c r="L322" s="3">
        <f>IF(OR(TRIM(I322)="",TRIM(K322)=""),"",IFERROR((VALUE(LEFT(TRIM(I322),4))-VALUE(LEFT(TRIM(K322),4)))*12+VALUE(MID(TRIM(I322),6,2))-VALUE(MID(TRIM(K322),6,2)),""))</f>
        <v>5</v>
      </c>
      <c r="M322" s="2" t="str">
        <f>IF(TRIM(H322)="","",IFERROR(LOOKUP(2,1/(ISNUMBER(SEARCH('منطق دسته‌بندی'!$A$2:$A$187,H322))),'منطق دسته‌بندی'!$B$2:$B$187),"سایر (نیازمند بررسی دستی)"))</f>
        <v>سیم‌کشی/اتصالات (تعمیر/تنظیم)</v>
      </c>
      <c r="N322" s="2" t="s">
        <v>24</v>
      </c>
      <c r="O322" s="2" t="str" cm="1">
        <f t="array" ref="O322">IF(A322="","",IF(SUMPRODUCT(($B$2:$B$965=B322)*($C$2:$C$965=C322)*($D$2:$D$965=D322)*($E$2:$E$965=E322)*($F$2:$F$965=F322)*($G$2:$G$965=G322)*($H$2:$H$965=H322)*($I$2:$I$965=I322)*($J$2:$J$965=J322)*($K$2:$K$965=K322)*($N$2:$N$965=N322))=1,"خیر",IF(SUMPRODUCT(($B$2:B322=B322)*($C$2:C322=C322)*($D$2:D322=D322)*($E$2:E322=E322)*($F$2:F322=F322)*($G$2:G322=G322)*($H$2:H322=H322)*($I$2:I322=I322)*($J$2:J322=J322)*($K$2:K322=K322)*($N$2:N322=N322))=1,"بله-1","بله")))</f>
        <v>خیر</v>
      </c>
      <c r="P322" s="5" t="str" cm="1">
        <f t="array" ref="P322">IF(A322="","",IF(SUMPRODUCT(($F$2:$F$969=F322)*($I$2:$I$969=I322))=1,"خیر",IF(SUMPRODUCT(($F$2:F322=F322)*($I$2:I322=I322))=1,"بله-1","بله")))</f>
        <v>خیر</v>
      </c>
    </row>
    <row r="323" spans="1:16" ht="18.75" x14ac:dyDescent="0.25">
      <c r="A323" s="2">
        <v>510025644</v>
      </c>
      <c r="B323" s="2" t="s">
        <v>1950</v>
      </c>
      <c r="C323" s="2" t="s">
        <v>1951</v>
      </c>
      <c r="D323" s="2" t="s">
        <v>1356</v>
      </c>
      <c r="E323" s="2" t="s">
        <v>1196</v>
      </c>
      <c r="F323" s="2" t="s">
        <v>1623</v>
      </c>
      <c r="G323" s="2" t="s">
        <v>1624</v>
      </c>
      <c r="H323" s="2" t="s">
        <v>1625</v>
      </c>
      <c r="I323" s="2" t="s">
        <v>1474</v>
      </c>
      <c r="J323" s="2" t="s">
        <v>1626</v>
      </c>
      <c r="K323" s="2" t="s">
        <v>1451</v>
      </c>
      <c r="L323" s="3">
        <f>IF(OR(TRIM(I323)="",TRIM(K323)=""),"",IFERROR((VALUE(LEFT(TRIM(I323),4))-VALUE(LEFT(TRIM(K323),4)))*12+VALUE(MID(TRIM(I323),6,2))-VALUE(MID(TRIM(K323),6,2)),""))</f>
        <v>1</v>
      </c>
      <c r="M323" s="2" t="str">
        <f>IF(TRIM(H323)="","",IFERROR(LOOKUP(2,1/(ISNUMBER(SEARCH('منطق دسته‌بندی'!$A$2:$A$187,H323))),'منطق دسته‌بندی'!$B$2:$B$187),"سایر (نیازمند بررسی دستی)"))</f>
        <v>سیم‌کشی/اتصالات (تعمیر/تنظیم)</v>
      </c>
      <c r="N323" s="2" t="s">
        <v>1381</v>
      </c>
      <c r="O323" s="2" t="str" cm="1">
        <f t="array" ref="O323">IF(A323="","",IF(SUMPRODUCT(($B$2:$B$965=B323)*($C$2:$C$965=C323)*($D$2:$D$965=D323)*($E$2:$E$965=E323)*($F$2:$F$965=F323)*($G$2:$G$965=G323)*($H$2:$H$965=H323)*($I$2:$I$965=I323)*($J$2:$J$965=J323)*($K$2:$K$965=K323)*($N$2:$N$965=N323))=1,"خیر",IF(SUMPRODUCT(($B$2:B323=B323)*($C$2:C323=C323)*($D$2:D323=D323)*($E$2:E323=E323)*($F$2:F323=F323)*($G$2:G323=G323)*($H$2:H323=H323)*($I$2:I323=I323)*($J$2:J323=J323)*($K$2:K323=K323)*($N$2:N323=N323))=1,"بله-1","بله")))</f>
        <v>خیر</v>
      </c>
      <c r="P323" s="5" t="str" cm="1">
        <f t="array" ref="P323">IF(A323="","",IF(SUMPRODUCT(($F$2:$F$969=F323)*($I$2:$I$969=I323))=1,"خیر",IF(SUMPRODUCT(($F$2:F323=F323)*($I$2:I323=I323))=1,"بله-1","بله")))</f>
        <v>خیر</v>
      </c>
    </row>
    <row r="324" spans="1:16" ht="18.75" x14ac:dyDescent="0.25">
      <c r="A324" s="2" t="s">
        <v>1195</v>
      </c>
      <c r="B324" s="2" t="s">
        <v>1040</v>
      </c>
      <c r="C324" s="2" t="s">
        <v>1041</v>
      </c>
      <c r="D324" s="2" t="s">
        <v>1356</v>
      </c>
      <c r="E324" s="2" t="s">
        <v>1196</v>
      </c>
      <c r="F324" s="2" t="s">
        <v>1197</v>
      </c>
      <c r="G324" s="2" t="s">
        <v>27</v>
      </c>
      <c r="H324" s="2" t="s">
        <v>139</v>
      </c>
      <c r="I324" s="2" t="s">
        <v>1185</v>
      </c>
      <c r="J324" s="2" t="s">
        <v>371</v>
      </c>
      <c r="K324" s="2" t="s">
        <v>277</v>
      </c>
      <c r="L324" s="3">
        <f>IF(OR(TRIM(I324)="",TRIM(K324)=""),"",IFERROR((VALUE(LEFT(TRIM(I324),4))-VALUE(LEFT(TRIM(K324),4)))*12+VALUE(MID(TRIM(I324),6,2))-VALUE(MID(TRIM(K324),6,2)),""))</f>
        <v>12</v>
      </c>
      <c r="M324" s="2" t="str">
        <f>IF(TRIM(H324)="","",IFERROR(LOOKUP(2,1/(ISNUMBER(SEARCH('منطق دسته‌بندی'!$A$2:$A$187,H324))),'منطق دسته‌بندی'!$B$2:$B$187),"سایر (نیازمند بررسی دستی)"))</f>
        <v>تراز/لرزش - نصب (رگلاژ پایه)</v>
      </c>
      <c r="N324" s="2" t="s">
        <v>24</v>
      </c>
      <c r="O324" s="2" t="str" cm="1">
        <f t="array" ref="O324">IF(A324="","",IF(SUMPRODUCT(($B$2:$B$965=B324)*($C$2:$C$965=C324)*($D$2:$D$965=D324)*($E$2:$E$965=E324)*($F$2:$F$965=F324)*($G$2:$G$965=G324)*($H$2:$H$965=H324)*($I$2:$I$965=I324)*($J$2:$J$965=J324)*($K$2:$K$965=K324)*($N$2:$N$965=N324))=1,"خیر",IF(SUMPRODUCT(($B$2:B324=B324)*($C$2:C324=C324)*($D$2:D324=D324)*($E$2:E324=E324)*($F$2:F324=F324)*($G$2:G324=G324)*($H$2:H324=H324)*($I$2:I324=I324)*($J$2:J324=J324)*($K$2:K324=K324)*($N$2:N324=N324))=1,"بله-1","بله")))</f>
        <v>خیر</v>
      </c>
      <c r="P324" s="5" t="str" cm="1">
        <f t="array" ref="P324">IF(A324="","",IF(SUMPRODUCT(($F$2:$F$969=F324)*($I$2:$I$969=I324))=1,"خیر",IF(SUMPRODUCT(($F$2:F324=F324)*($I$2:I324=I324))=1,"بله-1","بله")))</f>
        <v>خیر</v>
      </c>
    </row>
    <row r="325" spans="1:16" ht="18.75" x14ac:dyDescent="0.25">
      <c r="A325" s="2">
        <v>130010033</v>
      </c>
      <c r="B325" s="2" t="s">
        <v>1040</v>
      </c>
      <c r="C325" s="2" t="s">
        <v>1041</v>
      </c>
      <c r="D325" s="2" t="s">
        <v>1356</v>
      </c>
      <c r="E325" s="2" t="s">
        <v>1196</v>
      </c>
      <c r="F325" s="2" t="s">
        <v>1614</v>
      </c>
      <c r="G325" s="2" t="s">
        <v>1580</v>
      </c>
      <c r="H325" s="2" t="s">
        <v>1562</v>
      </c>
      <c r="I325" s="2" t="s">
        <v>1416</v>
      </c>
      <c r="J325" s="2" t="s">
        <v>207</v>
      </c>
      <c r="K325" s="2" t="s">
        <v>309</v>
      </c>
      <c r="L325" s="3">
        <f>IF(OR(TRIM(I325)="",TRIM(K325)=""),"",IFERROR((VALUE(LEFT(TRIM(I325),4))-VALUE(LEFT(TRIM(K325),4)))*12+VALUE(MID(TRIM(I325),6,2))-VALUE(MID(TRIM(K325),6,2)),""))</f>
        <v>4</v>
      </c>
      <c r="M325" s="2" t="str">
        <f>IF(TRIM(H325)="","",IFERROR(LOOKUP(2,1/(ISNUMBER(SEARCH('منطق دسته‌بندی'!$A$2:$A$187,H325))),'منطق دسته‌بندی'!$B$2:$B$187),"سایر (نیازمند بررسی دستی)"))</f>
        <v>خرابی - کمک فنر (تعویض)</v>
      </c>
      <c r="N325" s="2" t="s">
        <v>1563</v>
      </c>
      <c r="O325" s="2" t="str" cm="1">
        <f t="array" ref="O325">IF(A325="","",IF(SUMPRODUCT(($B$2:$B$965=B325)*($C$2:$C$965=C325)*($D$2:$D$965=D325)*($E$2:$E$965=E325)*($F$2:$F$965=F325)*($G$2:$G$965=G325)*($H$2:$H$965=H325)*($I$2:$I$965=I325)*($J$2:$J$965=J325)*($K$2:$K$965=K325)*($N$2:$N$965=N325))=1,"خیر",IF(SUMPRODUCT(($B$2:B325=B325)*($C$2:C325=C325)*($D$2:D325=D325)*($E$2:E325=E325)*($F$2:F325=F325)*($G$2:G325=G325)*($H$2:H325=H325)*($I$2:I325=I325)*($J$2:J325=J325)*($K$2:K325=K325)*($N$2:N325=N325))=1,"بله-1","بله")))</f>
        <v>خیر</v>
      </c>
      <c r="P325" s="5" t="str" cm="1">
        <f t="array" ref="P325">IF(A325="","",IF(SUMPRODUCT(($F$2:$F$969=F325)*($I$2:$I$969=I325))=1,"خیر",IF(SUMPRODUCT(($F$2:F325=F325)*($I$2:I325=I325))=1,"بله-1","بله")))</f>
        <v>خیر</v>
      </c>
    </row>
    <row r="326" spans="1:16" ht="18.75" x14ac:dyDescent="0.25">
      <c r="A326" s="2">
        <v>710005929</v>
      </c>
      <c r="B326" s="2" t="s">
        <v>1950</v>
      </c>
      <c r="C326" s="2" t="s">
        <v>1951</v>
      </c>
      <c r="D326" s="2" t="s">
        <v>1356</v>
      </c>
      <c r="E326" s="2" t="s">
        <v>1362</v>
      </c>
      <c r="F326" s="2" t="s">
        <v>1964</v>
      </c>
      <c r="G326" s="2" t="s">
        <v>1980</v>
      </c>
      <c r="H326" s="2" t="s">
        <v>1985</v>
      </c>
      <c r="I326" s="2" t="s">
        <v>1995</v>
      </c>
      <c r="J326" s="2" t="s">
        <v>156</v>
      </c>
      <c r="K326" s="2" t="s">
        <v>1260</v>
      </c>
      <c r="L326" s="3">
        <f>IF(OR(TRIM(I326)="",TRIM(K326)=""),"",IFERROR((VALUE(LEFT(TRIM(I326),4))-VALUE(LEFT(TRIM(K326),4)))*12+VALUE(MID(TRIM(I326),6,2))-VALUE(MID(TRIM(K326),6,2)),""))</f>
        <v>1</v>
      </c>
      <c r="M326" s="2" t="str">
        <f>IF(OR(ISNUMBER(SEARCH("بدون مورد",H326)),ISNUMBER(SEARCH("غير گارانتي",H326)),ISNUMBER(SEARCH("غیر گارانتی",H326)),ISNUMBER(SEARCH("بدون اجرت",H326)),ISNUMBER(SEARCH("فيلتر",H326)),ISNUMBER(SEARCH("فیلتر",H326))),"غیرگارانتی/بدون قطعه",IF(OR(ISNUMBER(SEARCH("ريست",H326)),ISNUMBER(SEARCH("ریست",H326))),"ریست نرم‌افزاری (بدون قطعه)",IF(OR(ISNUMBER(SEARCH("تعویض محصول",H326)),ISNUMBER(SEARCH("تعویض دستگاه",H326))),"تعویض کامل دستگاه (Replacement)",IF(ISNUMBER(SEARCH("پمپ",H326)),IF(ISNUMBER(SEARCH("نشت",H326)),"نشتی - پمپ تخلیه (تعمیر/آب‌بندی)","خرابی - پمپ تخلیه (تعویض)"),IF(ISNUMBER(SEARCH("کمپرسور",H326)),"خرابی - کمپرسور (تعویض)",IF(ISNUMBER(SEARCH("کمک فنر",H326)),"خرابی - کمک فنر (تعویض)",IF(ISNUMBER(SEARCH("لولا",H326)),"مکانیزم درب - لولا (تعویض)",IF(OR(ISNUMBER(SEARCH("قلاب",H326)),ISNUMBER(SEARCH("ميکروسوئيچ",H326)),ISNUMBER(SEARCH("میکروسوئیچ",H326))),"مکانیزم درب - میکروسوئیچ/قلاب (تعویض/تنظیم)",IF(ISNUMBER(SEARCH("زبانه",H326)),"مکانیزم درب - زبانه (تعویض)",IF(OR(ISNUMBER(SEARCH("شيلنگ",H326)),ISNUMBER(SEARCH("شیلنگ",H326))),IF(OR(ISNUMBER(SEARCH("نشتی",H326)),ISNUMBER(SEARCH("نشتي",H326))),"نشتی - شیلنگ (تعمیر/آب‌بندی)",IF(OR(ISNUMBER(SEARCH("يخ",H326)),ISNUMBER(SEARCH("یخ",H326))),"شیلنگ یخساز - یخ‌زدگی (بازبینی)","شیلنگ - برخورد/لهیدگی (بازبینی)")),IF(OR(ISNUMBER(SEARCH("تنظيم ديسپل",H326)),ISNUMBER(SEARCH("تنظیم دیسپل",H326)),ISNUMBER(SEARCH("تنظيم صفحه نمايش",H326)),ISNUMBER(SEARCH("تنظیم صفحه نمایش",H326))),"تنظیم - تنظیمات دستگاه/دیسپلی (تعمیر)",IF(OR(ISNUMBER(SEARCH("برد",H326)),ISNUMBER(SEARCH("سوکت",H326)),ISNUMBER(SEARCH("ديسپل",H326)),ISNUMBER(SEARCH("دیسپل",H326))),"خرابی - برد الکترونیک (تعویض)",IF(OR(ISNUMBER(SEARCH("يخساز",H326)),ISNUMBER(SEARCH("یخساز",H326)),ISNUMBER(SEARCH("دمپر",H326))),IF(OR(ISNUMBER(SEARCH("خرابی",H326)),ISNUMBER(SEARCH("خراب",H326)),ISNUMBER(SEARCH("عدم کارکرد",H326)),ISNUMBER(SEARCH("عدم عملکرد",H326))),"یخساز - خرابی موتور/سنسور/برد (تعویض)","یخساز - تنظیم/عایق (تعمیر)"),IF(OR(ISNUMBER(SEARCH("لاستيک",H326)),ISNUMBER(SEARCH("لاستیک",H326))),"لاستیک درزگیر - دفرمگی/پارگی (تعویض)",IF(OR(ISNUMBER(SEARCH("گسکت",H326)),ISNUMBER(SEARCH("گسگت",H326))),"لاستیک درزگیر - دفرمگی/پارگی (تعویض)",IF(ISNUMBER(SEARCH("مخزن نمک",H326)),"نشتی - درب مخزن نمک (تعمیر/آب‌بندی)",IF(ISNUMBER(SEARCH("براکت",H326)),"نشتی - براکت ریل (تعمیر/آب‌بندی)",IF(ISNUMBER(SEARCH("جاپودر",H326)),"نشتی - جاپودری (تعمیر/آب‌بندی)",IF(ISNUMBER(SEARCH("مقسم",H326)),"نشتی - مقسم آب (تعمیر/آب‌بندی)",IF(OR(ISNUMBER(SEARCH("سنسور دما",H326)),ISNUMBER(SEARCH("ترموستات",H326))),"خرابی - ترموستات (تعویض)",IF(OR(ISNUMBER(SEARCH("هيدروستات",H326)),ISNUMBER(SEARCH("هیدروستات",H326))),"خرابی - هیدروستات (تعویض)",IF(OR(ISNUMBER(SEARCH("بلبرينگ",H326)),ISNUMBER(SEARCH("بلبرینگ",H326))),"خرابی - بلبرینگ (تعویض)",IF(OR(ISNUMBER(SEARCH("شيربرق",H326)),ISNUMBER(SEARCH("شیربرق",H326))),"خرابی - شیربرقی (تعویض)",IF(OR(ISNUMBER(SEARCH("واتر جت",H326)),ISNUMBER(SEARCH("واترجت",H326))),"خرابی - واترجت (تعویض)",IF(OR(ISNUMBER(SEARCH("سيم",H326)),ISNUMBER(SEARCH("سیم",H326)),ISNUMBER(SEARCH("اتصال",H326))),"سیم‌کشی/اتصالات (تعویض/بازبینی)",IF(OR(ISNUMBER(SEARCH("تصوير",H326)),ISNUMBER(SEARCH("تصویر",H326))),"برد نمایش تلویزیون (تعویض)",IF(OR(ISNUMBER(SEARCH("ريموت",H326)),ISNUMBER(SEARCH("ریموت",H326))),"ریموت کنترل (تعویض/تعمیر)",IF(OR(ISNUMBER(SEARCH("ال اي دي",H326)),ISNUMBER(SEARCH("ال ای دی",H326)),ISNUMBER(SEARCH("LED",H326))),"خرابی - لامپ/LED داخلی (تعویض)",IF(ISNUMBER(SEARCH("زنگ زدگ",H326)),"زنگ‌زدگی بدنه/قطعه (تعویض)",IF(OR(ISNUMBER(SEARCH("قطعات تزئين",H326)),ISNUMBER(SEARCH("قطعات تزئین",H326))),"قطعات تزئینی - شکستگی/کسری (تعویض)",IF(ISNUMBER(SEARCH("سبد",H326)),"سبد ظرفشویی - شکستگی (تعویض)",IF(ISNUMBER(SEARCH("تاب درام",H326)),"خرابی - تاب برداشتن درام (تعویض)",IF(ISNUMBER(SEARCH("درام",H326)),"خرابی - سایر ایراد درام (تعویض)",IF(ISNUMBER(SEARCH("موتور",H326)),"خرابی - موتور (تعویض)",IF(ISNUMBER(SEARCH("تسمه",H326)),"خرابی - تسمه (تعویض)",IF(OR(ISNUMBER(SEARCH("پيچ ولوم",H326)),ISNUMBER(SEARCH("پیچ ولوم",H326))),"تنظیم - پیچ ولوم/دکمه (تعمیر)",IF(OR(ISNUMBER(SEARCH("کسري قطعات",H326)),ISNUMBER(SEARCH("کسری قطعات",H326))),"کسری قطعات تزئینی (تعویض)",IF(ISNUMBER(SEARCH("پرچ",H326)),"پرچ/بدنه کابین(تعمیر)",IF(OR(ISNUMBER(SEARCH("نشت",H326)),ISNUMBER(SEARCH("آبريزش",H326)),ISNUMBER(SEARCH("آبریزش",H326))),"نشتی آب - محل نامشخص (نیازمند بازدید)",IF(ISNUMBER(SEARCH("درب",H326)),"سایر اجزای درب (بازبینی)",IF(ISNUMBER(SEARCH("ضربه",H326)),"بدنه/کابین - ضربه (بازبینی/تعویض پنل)",IF(ISNUMBER(SEARCH("تراز",H326)),"تراز/لرزش - نصب (رگلاژ پایه)",IF(OR(ISNUMBER(SEARCH("تعویض",H326)),ISNUMBER(SEARCH("تعويض",H326))),"تعویض کامل دستگاه (Replacement)","سایر (نیازمند بررسی دستی)")))))))))))))))))))))))))))))))))))))))))))</f>
        <v>لاستیک درزگیر - دفرمگی/پارگی (تعویض)</v>
      </c>
      <c r="N326" s="2" t="s">
        <v>1381</v>
      </c>
      <c r="O326" s="2" t="str" cm="1">
        <f t="array" ref="O326">IF(A326="","",IF(SUMPRODUCT(($B$2:$B$965=B326)*($C$2:$C$965=C326)*($D$2:$D$965=D326)*($E$2:$E$965=E326)*($F$2:$F$965=F326)*($G$2:$G$965=G326)*($H$2:$H$965=H326)*($I$2:$I$965=I326)*($J$2:$J$965=J326)*($K$2:$K$965=K326)*($N$2:$N$965=N326))=1,"خیر",IF(SUMPRODUCT(($B$2:B326=B326)*($C$2:C326=C326)*($D$2:D326=D326)*($E$2:E326=E326)*($F$2:F326=F326)*($G$2:G326=G326)*($H$2:H326=H326)*($I$2:I326=I326)*($J$2:J326=J326)*($K$2:K326=K326)*($N$2:N326=N326))=1,"بله-1","بله")))</f>
        <v>خیر</v>
      </c>
      <c r="P326" s="5" t="str" cm="1">
        <f t="array" ref="P326">IF(A326="","",IF(SUMPRODUCT(($F$2:$F$969=F326)*($I$2:$I$969=I326))=1,"خیر",IF(SUMPRODUCT(($F$2:F326=F326)*($I$2:I326=I326))=1,"بله-1","بله")))</f>
        <v>خیر</v>
      </c>
    </row>
    <row r="327" spans="1:16" ht="37.5" x14ac:dyDescent="0.25">
      <c r="A327" s="2">
        <v>130011773</v>
      </c>
      <c r="B327" s="2" t="s">
        <v>1950</v>
      </c>
      <c r="C327" s="2" t="s">
        <v>1951</v>
      </c>
      <c r="D327" s="2" t="s">
        <v>1356</v>
      </c>
      <c r="E327" s="2" t="s">
        <v>1196</v>
      </c>
      <c r="F327" s="2" t="s">
        <v>1608</v>
      </c>
      <c r="G327" s="2" t="s">
        <v>1609</v>
      </c>
      <c r="H327" s="2" t="s">
        <v>1562</v>
      </c>
      <c r="I327" s="2" t="s">
        <v>1399</v>
      </c>
      <c r="J327" s="2" t="s">
        <v>1610</v>
      </c>
      <c r="K327" s="2" t="s">
        <v>371</v>
      </c>
      <c r="L327" s="3">
        <f>IF(OR(TRIM(I327)="",TRIM(K327)=""),"",IFERROR((VALUE(LEFT(TRIM(I327),4))-VALUE(LEFT(TRIM(K327),4)))*12+VALUE(MID(TRIM(I327),6,2))-VALUE(MID(TRIM(K327),6,2)),""))</f>
        <v>14</v>
      </c>
      <c r="M327" s="2" t="str">
        <f>IF(TRIM(H327)="","",IFERROR(LOOKUP(2,1/(ISNUMBER(SEARCH('منطق دسته‌بندی'!$A$2:$A$187,H327))),'منطق دسته‌بندی'!$B$2:$B$187),"سایر (نیازمند بررسی دستی)"))</f>
        <v>خرابی - کمک فنر (تعویض)</v>
      </c>
      <c r="N327" s="2" t="s">
        <v>1563</v>
      </c>
      <c r="O327" s="2" t="str" cm="1">
        <f t="array" ref="O327">IF(A327="","",IF(SUMPRODUCT(($B$2:$B$965=B327)*($C$2:$C$965=C327)*($D$2:$D$965=D327)*($E$2:$E$965=E327)*($F$2:$F$965=F327)*($G$2:$G$965=G327)*($H$2:$H$965=H327)*($I$2:$I$965=I327)*($J$2:$J$965=J327)*($K$2:$K$965=K327)*($N$2:$N$965=N327))=1,"خیر",IF(SUMPRODUCT(($B$2:B327=B327)*($C$2:C327=C327)*($D$2:D327=D327)*($E$2:E327=E327)*($F$2:F327=F327)*($G$2:G327=G327)*($H$2:H327=H327)*($I$2:I327=I327)*($J$2:J327=J327)*($K$2:K327=K327)*($N$2:N327=N327))=1,"بله-1","بله")))</f>
        <v>خیر</v>
      </c>
      <c r="P327" s="5" t="str" cm="1">
        <f t="array" ref="P327">IF(A327="","",IF(SUMPRODUCT(($F$2:$F$969=F327)*($I$2:$I$969=I327))=1,"خیر",IF(SUMPRODUCT(($F$2:F327=F327)*($I$2:I327=I327))=1,"بله-1","بله")))</f>
        <v>خیر</v>
      </c>
    </row>
    <row r="328" spans="1:16" ht="18.75" x14ac:dyDescent="0.25">
      <c r="A328" s="2" t="s">
        <v>642</v>
      </c>
      <c r="B328" s="2" t="s">
        <v>632</v>
      </c>
      <c r="C328" s="2" t="s">
        <v>633</v>
      </c>
      <c r="D328" s="2" t="s">
        <v>1356</v>
      </c>
      <c r="E328" s="2" t="s">
        <v>153</v>
      </c>
      <c r="F328" s="2" t="s">
        <v>643</v>
      </c>
      <c r="G328" s="2" t="s">
        <v>27</v>
      </c>
      <c r="H328" s="2" t="s">
        <v>139</v>
      </c>
      <c r="I328" s="2" t="s">
        <v>644</v>
      </c>
      <c r="J328" s="2" t="s">
        <v>645</v>
      </c>
      <c r="K328" s="2" t="s">
        <v>599</v>
      </c>
      <c r="L328" s="3">
        <f>IF(OR(TRIM(I328)="",TRIM(K328)=""),"",IFERROR((VALUE(LEFT(TRIM(I328),4))-VALUE(LEFT(TRIM(K328),4)))*12+VALUE(MID(TRIM(I328),6,2))-VALUE(MID(TRIM(K328),6,2)),""))</f>
        <v>9</v>
      </c>
      <c r="M328" s="2" t="str">
        <f>IF(TRIM(H328)="","",IFERROR(LOOKUP(2,1/(ISNUMBER(SEARCH('منطق دسته‌بندی'!$A$2:$A$187,H328))),'منطق دسته‌بندی'!$B$2:$B$187),"سایر (نیازمند بررسی دستی)"))</f>
        <v>تراز/لرزش - نصب (رگلاژ پایه)</v>
      </c>
      <c r="N328" s="2" t="s">
        <v>158</v>
      </c>
      <c r="O328" s="2" t="str" cm="1">
        <f t="array" ref="O328">IF(A328="","",IF(SUMPRODUCT(($B$2:$B$965=B328)*($C$2:$C$965=C328)*($D$2:$D$965=D328)*($E$2:$E$965=E328)*($F$2:$F$965=F328)*($G$2:$G$965=G328)*($H$2:$H$965=H328)*($I$2:$I$965=I328)*($J$2:$J$965=J328)*($K$2:$K$965=K328)*($N$2:$N$965=N328))=1,"خیر",IF(SUMPRODUCT(($B$2:B328=B328)*($C$2:C328=C328)*($D$2:D328=D328)*($E$2:E328=E328)*($F$2:F328=F328)*($G$2:G328=G328)*($H$2:H328=H328)*($I$2:I328=I328)*($J$2:J328=J328)*($K$2:K328=K328)*($N$2:N328=N328))=1,"بله-1","بله")))</f>
        <v>خیر</v>
      </c>
      <c r="P328" s="5" t="str" cm="1">
        <f t="array" ref="P328">IF(A328="","",IF(SUMPRODUCT(($F$2:$F$969=F328)*($I$2:$I$969=I328))=1,"خیر",IF(SUMPRODUCT(($F$2:F328=F328)*($I$2:I328=I328))=1,"بله-1","بله")))</f>
        <v>خیر</v>
      </c>
    </row>
    <row r="329" spans="1:16" ht="18.75" x14ac:dyDescent="0.25">
      <c r="A329" s="2">
        <v>210025683</v>
      </c>
      <c r="B329" s="2" t="s">
        <v>1950</v>
      </c>
      <c r="C329" s="2" t="s">
        <v>1951</v>
      </c>
      <c r="D329" s="2" t="s">
        <v>1356</v>
      </c>
      <c r="E329" s="2" t="s">
        <v>1362</v>
      </c>
      <c r="F329" s="2" t="s">
        <v>1963</v>
      </c>
      <c r="G329" s="2" t="s">
        <v>1576</v>
      </c>
      <c r="H329" s="11" t="s">
        <v>162</v>
      </c>
      <c r="I329" s="2" t="s">
        <v>1997</v>
      </c>
      <c r="J329" s="2" t="s">
        <v>645</v>
      </c>
      <c r="K329" s="2" t="s">
        <v>2010</v>
      </c>
      <c r="L329" s="3">
        <f>IF(OR(TRIM(I329)="",TRIM(K329)=""),"",IFERROR((VALUE(LEFT(TRIM(I329),4))-VALUE(LEFT(TRIM(K329),4)))*12+VALUE(MID(TRIM(I329),6,2))-VALUE(MID(TRIM(K329),6,2)),""))</f>
        <v>12</v>
      </c>
      <c r="M329" s="2" t="str">
        <f>IF(OR(ISNUMBER(SEARCH("بدون مورد",H329)),ISNUMBER(SEARCH("غير گارانتي",H329)),ISNUMBER(SEARCH("غیر گارانتی",H329)),ISNUMBER(SEARCH("بدون اجرت",H329)),ISNUMBER(SEARCH("فيلتر",H329)),ISNUMBER(SEARCH("فیلتر",H329))),"غیرگارانتی/بدون قطعه",IF(OR(ISNUMBER(SEARCH("ريست",H329)),ISNUMBER(SEARCH("ریست",H329))),"ریست نرم‌افزاری (بدون قطعه)",IF(OR(ISNUMBER(SEARCH("تعویض محصول",H329)),ISNUMBER(SEARCH("تعویض دستگاه",H329))),"تعویض کامل دستگاه (Replacement)",IF(ISNUMBER(SEARCH("پمپ",H329)),IF(ISNUMBER(SEARCH("نشت",H329)),"نشتی - پمپ تخلیه (تعمیر/آب‌بندی)","خرابی - پمپ تخلیه (تعویض)"),IF(ISNUMBER(SEARCH("کمپرسور",H329)),"خرابی - کمپرسور (تعویض)",IF(ISNUMBER(SEARCH("کمک فنر",H329)),"خرابی - کمک فنر (تعویض)",IF(ISNUMBER(SEARCH("لولا",H329)),"مکانیزم درب - لولا (تعویض)",IF(OR(ISNUMBER(SEARCH("قلاب",H329)),ISNUMBER(SEARCH("ميکروسوئيچ",H329)),ISNUMBER(SEARCH("میکروسوئیچ",H329))),"مکانیزم درب - میکروسوئیچ/قلاب (تعویض/تنظیم)",IF(ISNUMBER(SEARCH("زبانه",H329)),"مکانیزم درب - زبانه (تعویض)",IF(OR(ISNUMBER(SEARCH("شيلنگ",H329)),ISNUMBER(SEARCH("شیلنگ",H329))),IF(OR(ISNUMBER(SEARCH("نشتی",H329)),ISNUMBER(SEARCH("نشتي",H329))),"نشتی - شیلنگ (تعمیر/آب‌بندی)",IF(OR(ISNUMBER(SEARCH("يخ",H329)),ISNUMBER(SEARCH("یخ",H329))),"شیلنگ یخساز - یخ‌زدگی (بازبینی)","شیلنگ - برخورد/لهیدگی (بازبینی)")),IF(OR(ISNUMBER(SEARCH("تنظيم ديسپل",H329)),ISNUMBER(SEARCH("تنظیم دیسپل",H329)),ISNUMBER(SEARCH("تنظيم صفحه نمايش",H329)),ISNUMBER(SEARCH("تنظیم صفحه نمایش",H329))),"تنظیم - تنظیمات دستگاه/دیسپلی (تعمیر)",IF(OR(ISNUMBER(SEARCH("برد",H329)),ISNUMBER(SEARCH("سوکت",H329)),ISNUMBER(SEARCH("ديسپل",H329)),ISNUMBER(SEARCH("دیسپل",H329))),"خرابی - برد الکترونیک (تعویض)",IF(OR(ISNUMBER(SEARCH("يخساز",H329)),ISNUMBER(SEARCH("یخساز",H329)),ISNUMBER(SEARCH("دمپر",H329))),IF(OR(ISNUMBER(SEARCH("خرابی",H329)),ISNUMBER(SEARCH("خراب",H329)),ISNUMBER(SEARCH("عدم کارکرد",H329)),ISNUMBER(SEARCH("عدم عملکرد",H329))),"یخساز - خرابی موتور/سنسور/برد (تعویض)","یخساز - تنظیم/عایق (تعمیر)"),IF(OR(ISNUMBER(SEARCH("لاستيک",H329)),ISNUMBER(SEARCH("لاستیک",H329))),"لاستیک درزگیر - دفرمگی/پارگی (تعویض)",IF(OR(ISNUMBER(SEARCH("گسکت",H329)),ISNUMBER(SEARCH("گسگت",H329))),"لاستیک درزگیر - دفرمگی/پارگی (تعویض)",IF(ISNUMBER(SEARCH("مخزن نمک",H329)),"نشتی - درب مخزن نمک (تعمیر/آب‌بندی)",IF(ISNUMBER(SEARCH("براکت",H329)),"نشتی - براکت ریل (تعمیر/آب‌بندی)",IF(ISNUMBER(SEARCH("جاپودر",H329)),"نشتی - جاپودری (تعمیر/آب‌بندی)",IF(ISNUMBER(SEARCH("مقسم",H329)),"نشتی - مقسم آب (تعمیر/آب‌بندی)",IF(OR(ISNUMBER(SEARCH("سنسور دما",H329)),ISNUMBER(SEARCH("ترموستات",H329))),"خرابی - ترموستات (تعویض)",IF(OR(ISNUMBER(SEARCH("هيدروستات",H329)),ISNUMBER(SEARCH("هیدروستات",H329))),"خرابی - هیدروستات (تعویض)",IF(OR(ISNUMBER(SEARCH("بلبرينگ",H329)),ISNUMBER(SEARCH("بلبرینگ",H329))),"خرابی - بلبرینگ (تعویض)",IF(OR(ISNUMBER(SEARCH("شيربرق",H329)),ISNUMBER(SEARCH("شیربرق",H329))),"خرابی - شیربرقی (تعویض)",IF(OR(ISNUMBER(SEARCH("واتر جت",H329)),ISNUMBER(SEARCH("واترجت",H329))),"خرابی - واترجت (تعویض)",IF(OR(ISNUMBER(SEARCH("سيم",H329)),ISNUMBER(SEARCH("سیم",H329)),ISNUMBER(SEARCH("اتصال",H329))),"سیم‌کشی/اتصالات (تعویض/بازبینی)",IF(OR(ISNUMBER(SEARCH("تصوير",H329)),ISNUMBER(SEARCH("تصویر",H329))),"برد نمایش تلویزیون (تعویض)",IF(OR(ISNUMBER(SEARCH("ريموت",H329)),ISNUMBER(SEARCH("ریموت",H329))),"ریموت کنترل (تعویض/تعمیر)",IF(OR(ISNUMBER(SEARCH("ال اي دي",H329)),ISNUMBER(SEARCH("ال ای دی",H329)),ISNUMBER(SEARCH("LED",H329))),"خرابی - لامپ/LED داخلی (تعویض)",IF(ISNUMBER(SEARCH("زنگ زدگ",H329)),"زنگ‌زدگی بدنه/قطعه (تعویض)",IF(OR(ISNUMBER(SEARCH("قطعات تزئين",H329)),ISNUMBER(SEARCH("قطعات تزئین",H329))),"قطعات تزئینی - شکستگی/کسری (تعویض)",IF(ISNUMBER(SEARCH("سبد",H329)),"سبد ظرفشویی - شکستگی (تعویض)",IF(ISNUMBER(SEARCH("تاب درام",H329)),"خرابی - تاب برداشتن درام (تعویض)",IF(ISNUMBER(SEARCH("درام",H329)),"خرابی - سایر ایراد درام (تعویض)",IF(ISNUMBER(SEARCH("موتور",H329)),"خرابی - موتور (تعویض)",IF(ISNUMBER(SEARCH("تسمه",H329)),"خرابی - تسمه (تعویض)",IF(OR(ISNUMBER(SEARCH("پيچ ولوم",H329)),ISNUMBER(SEARCH("پیچ ولوم",H329))),"تنظیم - پیچ ولوم/دکمه (تعمیر)",IF(OR(ISNUMBER(SEARCH("کسري قطعات",H329)),ISNUMBER(SEARCH("کسری قطعات",H329))),"کسری قطعات تزئینی (تعویض)",IF(ISNUMBER(SEARCH("پرچ",H329)),"پرچ/بدنه کابین(تعمیر)",IF(OR(ISNUMBER(SEARCH("نشت",H329)),ISNUMBER(SEARCH("آبريزش",H329)),ISNUMBER(SEARCH("آبریزش",H329))),"نشتی آب - محل نامشخص (نیازمند بازدید)",IF(ISNUMBER(SEARCH("درب",H329)),"سایر اجزای درب (بازبینی)",IF(ISNUMBER(SEARCH("ضربه",H329)),"بدنه/کابین - ضربه (بازبینی/تعویض پنل)",IF(ISNUMBER(SEARCH("تراز",H329)),"تراز/لرزش - نصب (رگلاژ پایه)",IF(OR(ISNUMBER(SEARCH("تعویض",H329)),ISNUMBER(SEARCH("تعويض",H329))),"تعویض کامل دستگاه (Replacement)","سایر (نیازمند بررسی دستی)")))))))))))))))))))))))))))))))))))))))))))</f>
        <v>خرابی - پمپ تخلیه (تعویض)</v>
      </c>
      <c r="N329" s="2" t="s">
        <v>517</v>
      </c>
      <c r="O329" s="2" t="str" cm="1">
        <f t="array" ref="O329">IF(A329="","",IF(SUMPRODUCT(($B$2:$B$965=B329)*($C$2:$C$965=C329)*($D$2:$D$965=D329)*($E$2:$E$965=E329)*($F$2:$F$965=F329)*($G$2:$G$965=G329)*($H$2:$H$965=H329)*($I$2:$I$965=I329)*($J$2:$J$965=J329)*($K$2:$K$965=K329)*($N$2:$N$965=N329))=1,"خیر",IF(SUMPRODUCT(($B$2:B329=B329)*($C$2:C329=C329)*($D$2:D329=D329)*($E$2:E329=E329)*($F$2:F329=F329)*($G$2:G329=G329)*($H$2:H329=H329)*($I$2:I329=I329)*($J$2:J329=J329)*($K$2:K329=K329)*($N$2:N329=N329))=1,"بله-1","بله")))</f>
        <v>خیر</v>
      </c>
      <c r="P329" s="5" t="str" cm="1">
        <f t="array" ref="P329">IF(A329="","",IF(SUMPRODUCT(($F$2:$F$969=F329)*($I$2:$I$969=I329))=1,"خیر",IF(SUMPRODUCT(($F$2:F329=F329)*($I$2:I329=I329))=1,"بله-1","بله")))</f>
        <v>خیر</v>
      </c>
    </row>
    <row r="330" spans="1:16" ht="18.75" x14ac:dyDescent="0.25">
      <c r="A330" s="2">
        <v>130012471</v>
      </c>
      <c r="B330" s="2" t="s">
        <v>1950</v>
      </c>
      <c r="C330" s="2" t="s">
        <v>1951</v>
      </c>
      <c r="D330" s="2" t="s">
        <v>1356</v>
      </c>
      <c r="E330" s="2" t="s">
        <v>1362</v>
      </c>
      <c r="F330" s="2" t="s">
        <v>1953</v>
      </c>
      <c r="G330" s="2" t="s">
        <v>1972</v>
      </c>
      <c r="H330" s="2" t="s">
        <v>1985</v>
      </c>
      <c r="I330" s="2" t="s">
        <v>1996</v>
      </c>
      <c r="J330" s="2" t="s">
        <v>187</v>
      </c>
      <c r="K330" s="2" t="s">
        <v>1222</v>
      </c>
      <c r="L330" s="3">
        <f>IF(OR(TRIM(I330)="",TRIM(K330)=""),"",IFERROR((VALUE(LEFT(TRIM(I330),4))-VALUE(LEFT(TRIM(K330),4)))*12+VALUE(MID(TRIM(I330),6,2))-VALUE(MID(TRIM(K330),6,2)),""))</f>
        <v>10</v>
      </c>
      <c r="M330" s="2" t="str">
        <f>IF(OR(ISNUMBER(SEARCH("بدون مورد",H330)),ISNUMBER(SEARCH("غير گارانتي",H330)),ISNUMBER(SEARCH("غیر گارانتی",H330)),ISNUMBER(SEARCH("بدون اجرت",H330)),ISNUMBER(SEARCH("فيلتر",H330)),ISNUMBER(SEARCH("فیلتر",H330))),"غیرگارانتی/بدون قطعه",IF(OR(ISNUMBER(SEARCH("ريست",H330)),ISNUMBER(SEARCH("ریست",H330))),"ریست نرم‌افزاری (بدون قطعه)",IF(OR(ISNUMBER(SEARCH("تعویض محصول",H330)),ISNUMBER(SEARCH("تعویض دستگاه",H330))),"تعویض کامل دستگاه (Replacement)",IF(ISNUMBER(SEARCH("پمپ",H330)),IF(ISNUMBER(SEARCH("نشت",H330)),"نشتی - پمپ تخلیه (تعمیر/آب‌بندی)","خرابی - پمپ تخلیه (تعویض)"),IF(ISNUMBER(SEARCH("کمپرسور",H330)),"خرابی - کمپرسور (تعویض)",IF(ISNUMBER(SEARCH("کمک فنر",H330)),"خرابی - کمک فنر (تعویض)",IF(ISNUMBER(SEARCH("لولا",H330)),"مکانیزم درب - لولا (تعویض)",IF(OR(ISNUMBER(SEARCH("قلاب",H330)),ISNUMBER(SEARCH("ميکروسوئيچ",H330)),ISNUMBER(SEARCH("میکروسوئیچ",H330))),"مکانیزم درب - میکروسوئیچ/قلاب (تعویض/تنظیم)",IF(ISNUMBER(SEARCH("زبانه",H330)),"مکانیزم درب - زبانه (تعویض)",IF(OR(ISNUMBER(SEARCH("شيلنگ",H330)),ISNUMBER(SEARCH("شیلنگ",H330))),IF(OR(ISNUMBER(SEARCH("نشتی",H330)),ISNUMBER(SEARCH("نشتي",H330))),"نشتی - شیلنگ (تعمیر/آب‌بندی)",IF(OR(ISNUMBER(SEARCH("يخ",H330)),ISNUMBER(SEARCH("یخ",H330))),"شیلنگ یخساز - یخ‌زدگی (بازبینی)","شیلنگ - برخورد/لهیدگی (بازبینی)")),IF(OR(ISNUMBER(SEARCH("تنظيم ديسپل",H330)),ISNUMBER(SEARCH("تنظیم دیسپل",H330)),ISNUMBER(SEARCH("تنظيم صفحه نمايش",H330)),ISNUMBER(SEARCH("تنظیم صفحه نمایش",H330))),"تنظیم - تنظیمات دستگاه/دیسپلی (تعمیر)",IF(OR(ISNUMBER(SEARCH("برد",H330)),ISNUMBER(SEARCH("سوکت",H330)),ISNUMBER(SEARCH("ديسپل",H330)),ISNUMBER(SEARCH("دیسپل",H330))),"خرابی - برد الکترونیک (تعویض)",IF(OR(ISNUMBER(SEARCH("يخساز",H330)),ISNUMBER(SEARCH("یخساز",H330)),ISNUMBER(SEARCH("دمپر",H330))),IF(OR(ISNUMBER(SEARCH("خرابی",H330)),ISNUMBER(SEARCH("خراب",H330)),ISNUMBER(SEARCH("عدم کارکرد",H330)),ISNUMBER(SEARCH("عدم عملکرد",H330))),"یخساز - خرابی موتور/سنسور/برد (تعویض)","یخساز - تنظیم/عایق (تعمیر)"),IF(OR(ISNUMBER(SEARCH("لاستيک",H330)),ISNUMBER(SEARCH("لاستیک",H330))),"لاستیک درزگیر - دفرمگی/پارگی (تعویض)",IF(OR(ISNUMBER(SEARCH("گسکت",H330)),ISNUMBER(SEARCH("گسگت",H330))),"لاستیک درزگیر - دفرمگی/پارگی (تعویض)",IF(ISNUMBER(SEARCH("مخزن نمک",H330)),"نشتی - درب مخزن نمک (تعمیر/آب‌بندی)",IF(ISNUMBER(SEARCH("براکت",H330)),"نشتی - براکت ریل (تعمیر/آب‌بندی)",IF(ISNUMBER(SEARCH("جاپودر",H330)),"نشتی - جاپودری (تعمیر/آب‌بندی)",IF(ISNUMBER(SEARCH("مقسم",H330)),"نشتی - مقسم آب (تعمیر/آب‌بندی)",IF(OR(ISNUMBER(SEARCH("سنسور دما",H330)),ISNUMBER(SEARCH("ترموستات",H330))),"خرابی - ترموستات (تعویض)",IF(OR(ISNUMBER(SEARCH("هيدروستات",H330)),ISNUMBER(SEARCH("هیدروستات",H330))),"خرابی - هیدروستات (تعویض)",IF(OR(ISNUMBER(SEARCH("بلبرينگ",H330)),ISNUMBER(SEARCH("بلبرینگ",H330))),"خرابی - بلبرینگ (تعویض)",IF(OR(ISNUMBER(SEARCH("شيربرق",H330)),ISNUMBER(SEARCH("شیربرق",H330))),"خرابی - شیربرقی (تعویض)",IF(OR(ISNUMBER(SEARCH("واتر جت",H330)),ISNUMBER(SEARCH("واترجت",H330))),"خرابی - واترجت (تعویض)",IF(OR(ISNUMBER(SEARCH("سيم",H330)),ISNUMBER(SEARCH("سیم",H330)),ISNUMBER(SEARCH("اتصال",H330))),"سیم‌کشی/اتصالات (تعویض/بازبینی)",IF(OR(ISNUMBER(SEARCH("تصوير",H330)),ISNUMBER(SEARCH("تصویر",H330))),"برد نمایش تلویزیون (تعویض)",IF(OR(ISNUMBER(SEARCH("ريموت",H330)),ISNUMBER(SEARCH("ریموت",H330))),"ریموت کنترل (تعویض/تعمیر)",IF(OR(ISNUMBER(SEARCH("ال اي دي",H330)),ISNUMBER(SEARCH("ال ای دی",H330)),ISNUMBER(SEARCH("LED",H330))),"خرابی - لامپ/LED داخلی (تعویض)",IF(ISNUMBER(SEARCH("زنگ زدگ",H330)),"زنگ‌زدگی بدنه/قطعه (تعویض)",IF(OR(ISNUMBER(SEARCH("قطعات تزئين",H330)),ISNUMBER(SEARCH("قطعات تزئین",H330))),"قطعات تزئینی - شکستگی/کسری (تعویض)",IF(ISNUMBER(SEARCH("سبد",H330)),"سبد ظرفشویی - شکستگی (تعویض)",IF(ISNUMBER(SEARCH("تاب درام",H330)),"خرابی - تاب برداشتن درام (تعویض)",IF(ISNUMBER(SEARCH("درام",H330)),"خرابی - سایر ایراد درام (تعویض)",IF(ISNUMBER(SEARCH("موتور",H330)),"خرابی - موتور (تعویض)",IF(ISNUMBER(SEARCH("تسمه",H330)),"خرابی - تسمه (تعویض)",IF(OR(ISNUMBER(SEARCH("پيچ ولوم",H330)),ISNUMBER(SEARCH("پیچ ولوم",H330))),"تنظیم - پیچ ولوم/دکمه (تعمیر)",IF(OR(ISNUMBER(SEARCH("کسري قطعات",H330)),ISNUMBER(SEARCH("کسری قطعات",H330))),"کسری قطعات تزئینی (تعویض)",IF(ISNUMBER(SEARCH("پرچ",H330)),"پرچ/بدنه کابین(تعمیر)",IF(OR(ISNUMBER(SEARCH("نشت",H330)),ISNUMBER(SEARCH("آبريزش",H330)),ISNUMBER(SEARCH("آبریزش",H330))),"نشتی آب - محل نامشخص (نیازمند بازدید)",IF(ISNUMBER(SEARCH("درب",H330)),"سایر اجزای درب (بازبینی)",IF(ISNUMBER(SEARCH("ضربه",H330)),"بدنه/کابین - ضربه (بازبینی/تعویض پنل)",IF(ISNUMBER(SEARCH("تراز",H330)),"تراز/لرزش - نصب (رگلاژ پایه)",IF(OR(ISNUMBER(SEARCH("تعویض",H330)),ISNUMBER(SEARCH("تعويض",H330))),"تعویض کامل دستگاه (Replacement)","سایر (نیازمند بررسی دستی)")))))))))))))))))))))))))))))))))))))))))))</f>
        <v>لاستیک درزگیر - دفرمگی/پارگی (تعویض)</v>
      </c>
      <c r="N330" s="2" t="s">
        <v>1381</v>
      </c>
      <c r="O330" s="2" t="str" cm="1">
        <f t="array" ref="O330">IF(A330="","",IF(SUMPRODUCT(($B$2:$B$965=B330)*($C$2:$C$965=C330)*($D$2:$D$965=D330)*($E$2:$E$965=E330)*($F$2:$F$965=F330)*($G$2:$G$965=G330)*($H$2:$H$965=H330)*($I$2:$I$965=I330)*($J$2:$J$965=J330)*($K$2:$K$965=K330)*($N$2:$N$965=N330))=1,"خیر",IF(SUMPRODUCT(($B$2:B330=B330)*($C$2:C330=C330)*($D$2:D330=D330)*($E$2:E330=E330)*($F$2:F330=F330)*($G$2:G330=G330)*($H$2:H330=H330)*($I$2:I330=I330)*($J$2:J330=J330)*($K$2:K330=K330)*($N$2:N330=N330))=1,"بله-1","بله")))</f>
        <v>خیر</v>
      </c>
      <c r="P330" s="5" t="str" cm="1">
        <f t="array" ref="P330">IF(A330="","",IF(SUMPRODUCT(($F$2:$F$969=F330)*($I$2:$I$969=I330))=1,"خیر",IF(SUMPRODUCT(($F$2:F330=F330)*($I$2:I330=I330))=1,"بله-1","بله")))</f>
        <v>خیر</v>
      </c>
    </row>
    <row r="331" spans="1:16" ht="37.5" x14ac:dyDescent="0.25">
      <c r="A331" s="2">
        <v>310008666</v>
      </c>
      <c r="B331" s="2" t="s">
        <v>1040</v>
      </c>
      <c r="C331" s="2" t="s">
        <v>1041</v>
      </c>
      <c r="D331" s="2" t="s">
        <v>1356</v>
      </c>
      <c r="E331" s="2" t="s">
        <v>1196</v>
      </c>
      <c r="F331" s="2" t="s">
        <v>1564</v>
      </c>
      <c r="G331" s="2" t="s">
        <v>1457</v>
      </c>
      <c r="H331" s="2" t="s">
        <v>1565</v>
      </c>
      <c r="I331" s="2" t="s">
        <v>1451</v>
      </c>
      <c r="J331" s="2" t="s">
        <v>140</v>
      </c>
      <c r="K331" s="2" t="s">
        <v>770</v>
      </c>
      <c r="L331" s="3">
        <f>IF(OR(TRIM(I331)="",TRIM(K331)=""),"",IFERROR((VALUE(LEFT(TRIM(I331),4))-VALUE(LEFT(TRIM(K331),4)))*12+VALUE(MID(TRIM(I331),6,2))-VALUE(MID(TRIM(K331),6,2)),""))</f>
        <v>6</v>
      </c>
      <c r="M331" s="2" t="str">
        <f>IF(TRIM(H331)="","",IFERROR(LOOKUP(2,1/(ISNUMBER(SEARCH('منطق دسته‌بندی'!$A$2:$A$187,H331))),'منطق دسته‌بندی'!$B$2:$B$187),"سایر (نیازمند بررسی دستی)"))</f>
        <v>نشتی - شیلنگ (تعمیر/آب‌بندی)</v>
      </c>
      <c r="N331" s="2" t="s">
        <v>1566</v>
      </c>
      <c r="O331" s="2" t="str" cm="1">
        <f t="array" ref="O331">IF(A331="","",IF(SUMPRODUCT(($B$2:$B$965=B331)*($C$2:$C$965=C331)*($D$2:$D$965=D331)*($E$2:$E$965=E331)*($F$2:$F$965=F331)*($G$2:$G$965=G331)*($H$2:$H$965=H331)*($I$2:$I$965=I331)*($J$2:$J$965=J331)*($K$2:$K$965=K331)*($N$2:$N$965=N331))=1,"خیر",IF(SUMPRODUCT(($B$2:B331=B331)*($C$2:C331=C331)*($D$2:D331=D331)*($E$2:E331=E331)*($F$2:F331=F331)*($G$2:G331=G331)*($H$2:H331=H331)*($I$2:I331=I331)*($J$2:J331=J331)*($K$2:K331=K331)*($N$2:N331=N331))=1,"بله-1","بله")))</f>
        <v>خیر</v>
      </c>
      <c r="P331" s="5" t="str" cm="1">
        <f t="array" ref="P331">IF(A331="","",IF(SUMPRODUCT(($F$2:$F$969=F331)*($I$2:$I$969=I331))=1,"خیر",IF(SUMPRODUCT(($F$2:F331=F331)*($I$2:I331=I331))=1,"بله-1","بله")))</f>
        <v>خیر</v>
      </c>
    </row>
    <row r="332" spans="1:16" ht="18.75" x14ac:dyDescent="0.25">
      <c r="A332" s="2" t="s">
        <v>729</v>
      </c>
      <c r="B332" s="2" t="s">
        <v>632</v>
      </c>
      <c r="C332" s="2" t="s">
        <v>633</v>
      </c>
      <c r="D332" s="2" t="s">
        <v>1356</v>
      </c>
      <c r="E332" s="2" t="s">
        <v>153</v>
      </c>
      <c r="F332" s="2" t="s">
        <v>730</v>
      </c>
      <c r="G332" s="2" t="s">
        <v>214</v>
      </c>
      <c r="H332" s="2" t="s">
        <v>139</v>
      </c>
      <c r="I332" s="2" t="s">
        <v>572</v>
      </c>
      <c r="J332" s="2" t="s">
        <v>731</v>
      </c>
      <c r="K332" s="2" t="s">
        <v>140</v>
      </c>
      <c r="L332" s="3">
        <f>IF(OR(TRIM(I332)="",TRIM(K332)=""),"",IFERROR((VALUE(LEFT(TRIM(I332),4))-VALUE(LEFT(TRIM(K332),4)))*12+VALUE(MID(TRIM(I332),6,2))-VALUE(MID(TRIM(K332),6,2)),""))</f>
        <v>12</v>
      </c>
      <c r="M332" s="2" t="str">
        <f>IF(TRIM(H332)="","",IFERROR(LOOKUP(2,1/(ISNUMBER(SEARCH('منطق دسته‌بندی'!$A$2:$A$187,H332))),'منطق دسته‌بندی'!$B$2:$B$187),"سایر (نیازمند بررسی دستی)"))</f>
        <v>تراز/لرزش - نصب (رگلاژ پایه)</v>
      </c>
      <c r="N332" s="2" t="s">
        <v>158</v>
      </c>
      <c r="O332" s="2" t="str" cm="1">
        <f t="array" ref="O332">IF(A332="","",IF(SUMPRODUCT(($B$2:$B$965=B332)*($C$2:$C$965=C332)*($D$2:$D$965=D332)*($E$2:$E$965=E332)*($F$2:$F$965=F332)*($G$2:$G$965=G332)*($H$2:$H$965=H332)*($I$2:$I$965=I332)*($J$2:$J$965=J332)*($K$2:$K$965=K332)*($N$2:$N$965=N332))=1,"خیر",IF(SUMPRODUCT(($B$2:B332=B332)*($C$2:C332=C332)*($D$2:D332=D332)*($E$2:E332=E332)*($F$2:F332=F332)*($G$2:G332=G332)*($H$2:H332=H332)*($I$2:I332=I332)*($J$2:J332=J332)*($K$2:K332=K332)*($N$2:N332=N332))=1,"بله-1","بله")))</f>
        <v>خیر</v>
      </c>
      <c r="P332" s="5" t="str" cm="1">
        <f t="array" ref="P332">IF(A332="","",IF(SUMPRODUCT(($F$2:$F$969=F332)*($I$2:$I$969=I332))=1,"خیر",IF(SUMPRODUCT(($F$2:F332=F332)*($I$2:I332=I332))=1,"بله-1","بله")))</f>
        <v>خیر</v>
      </c>
    </row>
    <row r="333" spans="1:16" ht="37.5" x14ac:dyDescent="0.25">
      <c r="A333" s="2" t="s">
        <v>620</v>
      </c>
      <c r="B333" s="2" t="s">
        <v>16</v>
      </c>
      <c r="C333" s="2" t="s">
        <v>17</v>
      </c>
      <c r="D333" s="2" t="s">
        <v>1356</v>
      </c>
      <c r="E333" s="2" t="s">
        <v>153</v>
      </c>
      <c r="F333" s="2" t="s">
        <v>621</v>
      </c>
      <c r="G333" s="2" t="s">
        <v>622</v>
      </c>
      <c r="H333" s="2" t="s">
        <v>139</v>
      </c>
      <c r="I333" s="2" t="s">
        <v>623</v>
      </c>
      <c r="J333" s="2" t="s">
        <v>624</v>
      </c>
      <c r="K333" s="2" t="s">
        <v>159</v>
      </c>
      <c r="L333" s="3">
        <f>IF(OR(TRIM(I333)="",TRIM(K333)=""),"",IFERROR((VALUE(LEFT(TRIM(I333),4))-VALUE(LEFT(TRIM(K333),4)))*12+VALUE(MID(TRIM(I333),6,2))-VALUE(MID(TRIM(K333),6,2)),""))</f>
        <v>0</v>
      </c>
      <c r="M333" s="2" t="str">
        <f>IF(TRIM(H333)="","",IFERROR(LOOKUP(2,1/(ISNUMBER(SEARCH('منطق دسته‌بندی'!$A$2:$A$187,H333))),'منطق دسته‌بندی'!$B$2:$B$187),"سایر (نیازمند بررسی دستی)"))</f>
        <v>تراز/لرزش - نصب (رگلاژ پایه)</v>
      </c>
      <c r="N333" s="2" t="s">
        <v>158</v>
      </c>
      <c r="O333" s="2" t="str" cm="1">
        <f t="array" ref="O333">IF(A333="","",IF(SUMPRODUCT(($B$2:$B$965=B333)*($C$2:$C$965=C333)*($D$2:$D$965=D333)*($E$2:$E$965=E333)*($F$2:$F$965=F333)*($G$2:$G$965=G333)*($H$2:$H$965=H333)*($I$2:$I$965=I333)*($J$2:$J$965=J333)*($K$2:$K$965=K333)*($N$2:$N$965=N333))=1,"خیر",IF(SUMPRODUCT(($B$2:B333=B333)*($C$2:C333=C333)*($D$2:D333=D333)*($E$2:E333=E333)*($F$2:F333=F333)*($G$2:G333=G333)*($H$2:H333=H333)*($I$2:I333=I333)*($J$2:J333=J333)*($K$2:K333=K333)*($N$2:N333=N333))=1,"بله-1","بله")))</f>
        <v>خیر</v>
      </c>
      <c r="P333" s="5" t="str" cm="1">
        <f t="array" ref="P333">IF(A333="","",IF(SUMPRODUCT(($F$2:$F$969=F333)*($I$2:$I$969=I333))=1,"خیر",IF(SUMPRODUCT(($F$2:F333=F333)*($I$2:I333=I333))=1,"بله-1","بله")))</f>
        <v>خیر</v>
      </c>
    </row>
    <row r="334" spans="1:16" ht="37.5" x14ac:dyDescent="0.25">
      <c r="A334" s="2" t="s">
        <v>851</v>
      </c>
      <c r="B334" s="2" t="s">
        <v>632</v>
      </c>
      <c r="C334" s="2" t="s">
        <v>633</v>
      </c>
      <c r="D334" s="2" t="s">
        <v>1356</v>
      </c>
      <c r="E334" s="2" t="s">
        <v>153</v>
      </c>
      <c r="F334" s="2" t="s">
        <v>852</v>
      </c>
      <c r="G334" s="2" t="s">
        <v>622</v>
      </c>
      <c r="H334" s="2" t="s">
        <v>139</v>
      </c>
      <c r="I334" s="2" t="s">
        <v>845</v>
      </c>
      <c r="J334" s="2" t="s">
        <v>853</v>
      </c>
      <c r="K334" s="2" t="s">
        <v>283</v>
      </c>
      <c r="L334" s="3">
        <f>IF(OR(TRIM(I334)="",TRIM(K334)=""),"",IFERROR((VALUE(LEFT(TRIM(I334),4))-VALUE(LEFT(TRIM(K334),4)))*12+VALUE(MID(TRIM(I334),6,2))-VALUE(MID(TRIM(K334),6,2)),""))</f>
        <v>5</v>
      </c>
      <c r="M334" s="2" t="str">
        <f>IF(TRIM(H334)="","",IFERROR(LOOKUP(2,1/(ISNUMBER(SEARCH('منطق دسته‌بندی'!$A$2:$A$187,H334))),'منطق دسته‌بندی'!$B$2:$B$187),"سایر (نیازمند بررسی دستی)"))</f>
        <v>تراز/لرزش - نصب (رگلاژ پایه)</v>
      </c>
      <c r="N334" s="2" t="s">
        <v>158</v>
      </c>
      <c r="O334" s="2" t="str" cm="1">
        <f t="array" ref="O334">IF(A334="","",IF(SUMPRODUCT(($B$2:$B$965=B334)*($C$2:$C$965=C334)*($D$2:$D$965=D334)*($E$2:$E$965=E334)*($F$2:$F$965=F334)*($G$2:$G$965=G334)*($H$2:$H$965=H334)*($I$2:$I$965=I334)*($J$2:$J$965=J334)*($K$2:$K$965=K334)*($N$2:$N$965=N334))=1,"خیر",IF(SUMPRODUCT(($B$2:B334=B334)*($C$2:C334=C334)*($D$2:D334=D334)*($E$2:E334=E334)*($F$2:F334=F334)*($G$2:G334=G334)*($H$2:H334=H334)*($I$2:I334=I334)*($J$2:J334=J334)*($K$2:K334=K334)*($N$2:N334=N334))=1,"بله-1","بله")))</f>
        <v>خیر</v>
      </c>
      <c r="P334" s="5" t="str" cm="1">
        <f t="array" ref="P334">IF(A334="","",IF(SUMPRODUCT(($F$2:$F$969=F334)*($I$2:$I$969=I334))=1,"خیر",IF(SUMPRODUCT(($F$2:F334=F334)*($I$2:I334=I334))=1,"بله-1","بله")))</f>
        <v>خیر</v>
      </c>
    </row>
    <row r="335" spans="1:16" ht="18.75" x14ac:dyDescent="0.25">
      <c r="A335" s="2">
        <v>130010845</v>
      </c>
      <c r="B335" s="2" t="s">
        <v>1950</v>
      </c>
      <c r="C335" s="2" t="s">
        <v>1951</v>
      </c>
      <c r="D335" s="2" t="s">
        <v>1356</v>
      </c>
      <c r="E335" s="15" t="s">
        <v>1154</v>
      </c>
      <c r="F335" s="2" t="s">
        <v>1638</v>
      </c>
      <c r="G335" s="2" t="s">
        <v>1457</v>
      </c>
      <c r="H335" s="2" t="s">
        <v>1428</v>
      </c>
      <c r="I335" s="2" t="s">
        <v>1366</v>
      </c>
      <c r="J335" s="2" t="s">
        <v>1639</v>
      </c>
      <c r="K335" s="2" t="s">
        <v>1366</v>
      </c>
      <c r="L335" s="3">
        <f>IF(OR(TRIM(I335)="",TRIM(K335)=""),"",IFERROR((VALUE(LEFT(TRIM(I335),4))-VALUE(LEFT(TRIM(K335),4)))*12+VALUE(MID(TRIM(I335),6,2))-VALUE(MID(TRIM(K335),6,2)),""))</f>
        <v>0</v>
      </c>
      <c r="M335" s="2" t="str">
        <f>IF(TRIM(H335)="","",IFERROR(LOOKUP(2,1/(ISNUMBER(SEARCH('منطق دسته‌بندی'!$A$2:$A$187,H335))),'منطق دسته‌بندی'!$B$2:$B$187),"سایر (نیازمند بررسی دستی)"))</f>
        <v>شیلنگ - برخورد/لهیدگی (بازبینی)</v>
      </c>
      <c r="N335" s="2" t="s">
        <v>1381</v>
      </c>
      <c r="O335" s="2" t="str" cm="1">
        <f t="array" ref="O335">IF(A335="","",IF(SUMPRODUCT(($B$2:$B$965=B335)*($C$2:$C$965=C335)*($D$2:$D$965=D335)*($E$2:$E$965=E335)*($F$2:$F$965=F335)*($G$2:$G$965=G335)*($H$2:$H$965=H335)*($I$2:$I$965=I335)*($J$2:$J$965=J335)*($K$2:$K$965=K335)*($N$2:$N$965=N335))=1,"خیر",IF(SUMPRODUCT(($B$2:B335=B335)*($C$2:C335=C335)*($D$2:D335=D335)*($E$2:E335=E335)*($F$2:F335=F335)*($G$2:G335=G335)*($H$2:H335=H335)*($I$2:I335=I335)*($J$2:J335=J335)*($K$2:K335=K335)*($N$2:N335=N335))=1,"بله-1","بله")))</f>
        <v>خیر</v>
      </c>
      <c r="P335" s="5" t="str" cm="1">
        <f t="array" ref="P335">IF(A335="","",IF(SUMPRODUCT(($F$2:$F$969=F335)*($I$2:$I$969=I335))=1,"خیر",IF(SUMPRODUCT(($F$2:F335=F335)*($I$2:I335=I335))=1,"بله-1","بله")))</f>
        <v>خیر</v>
      </c>
    </row>
    <row r="336" spans="1:16" ht="18.75" x14ac:dyDescent="0.25">
      <c r="A336" s="2" t="s">
        <v>1153</v>
      </c>
      <c r="B336" s="2" t="s">
        <v>1040</v>
      </c>
      <c r="C336" s="2" t="s">
        <v>1041</v>
      </c>
      <c r="D336" s="2" t="s">
        <v>1356</v>
      </c>
      <c r="E336" s="15" t="s">
        <v>1154</v>
      </c>
      <c r="F336" s="2" t="s">
        <v>1155</v>
      </c>
      <c r="G336" s="2" t="s">
        <v>388</v>
      </c>
      <c r="H336" s="2" t="s">
        <v>139</v>
      </c>
      <c r="I336" s="2" t="s">
        <v>1156</v>
      </c>
      <c r="J336" s="2" t="s">
        <v>2005</v>
      </c>
      <c r="K336" s="2" t="s">
        <v>2009</v>
      </c>
      <c r="L336" s="3">
        <f>IF(OR(TRIM(I336)="",TRIM(K336)=""),"",IFERROR((VALUE(LEFT(TRIM(I336),4))-VALUE(LEFT(TRIM(K336),4)))*12+VALUE(MID(TRIM(I336),6,2))-VALUE(MID(TRIM(K336),6,2)),""))</f>
        <v>7</v>
      </c>
      <c r="M336" s="2" t="str">
        <f>IF(TRIM(H336)="","",IFERROR(LOOKUP(2,1/(ISNUMBER(SEARCH('منطق دسته‌بندی'!$A$2:$A$187,H336))),'منطق دسته‌بندی'!$B$2:$B$187),"سایر (نیازمند بررسی دستی)"))</f>
        <v>تراز/لرزش - نصب (رگلاژ پایه)</v>
      </c>
      <c r="N336" s="2" t="s">
        <v>24</v>
      </c>
      <c r="O336" s="2" t="str" cm="1">
        <f t="array" ref="O336">IF(A336="","",IF(SUMPRODUCT(($B$2:$B$965=B336)*($C$2:$C$965=C336)*($D$2:$D$965=D336)*($E$2:$E$965=E336)*($F$2:$F$965=F336)*($G$2:$G$965=G336)*($H$2:$H$965=H336)*($I$2:$I$965=I336)*($J$2:$J$965=J336)*($K$2:$K$965=K336)*($N$2:$N$965=N336))=1,"خیر",IF(SUMPRODUCT(($B$2:B336=B336)*($C$2:C336=C336)*($D$2:D336=D336)*($E$2:E336=E336)*($F$2:F336=F336)*($G$2:G336=G336)*($H$2:H336=H336)*($I$2:I336=I336)*($J$2:J336=J336)*($K$2:K336=K336)*($N$2:N336=N336))=1,"بله-1","بله")))</f>
        <v>خیر</v>
      </c>
      <c r="P336" s="5" t="str" cm="1">
        <f t="array" ref="P336">IF(A336="","",IF(SUMPRODUCT(($F$2:$F$969=F336)*($I$2:$I$969=I336))=1,"خیر",IF(SUMPRODUCT(($F$2:F336=F336)*($I$2:I336=I336))=1,"بله-1","بله")))</f>
        <v>خیر</v>
      </c>
    </row>
    <row r="337" spans="1:16" ht="18.75" x14ac:dyDescent="0.25">
      <c r="A337" s="2">
        <v>810006791</v>
      </c>
      <c r="B337" s="2" t="s">
        <v>1950</v>
      </c>
      <c r="C337" s="2" t="s">
        <v>1951</v>
      </c>
      <c r="D337" s="2" t="s">
        <v>1356</v>
      </c>
      <c r="E337" s="2" t="s">
        <v>1362</v>
      </c>
      <c r="F337" s="2" t="s">
        <v>1155</v>
      </c>
      <c r="G337" s="2" t="s">
        <v>1580</v>
      </c>
      <c r="H337" s="11" t="s">
        <v>162</v>
      </c>
      <c r="I337" s="2" t="s">
        <v>1999</v>
      </c>
      <c r="J337" s="2" t="s">
        <v>2005</v>
      </c>
      <c r="K337" s="2" t="s">
        <v>2009</v>
      </c>
      <c r="L337" s="3">
        <f>IF(OR(TRIM(I337)="",TRIM(K337)=""),"",IFERROR((VALUE(LEFT(TRIM(I337),4))-VALUE(LEFT(TRIM(K337),4)))*12+VALUE(MID(TRIM(I337),6,2))-VALUE(MID(TRIM(K337),6,2)),""))</f>
        <v>8</v>
      </c>
      <c r="M337" s="2" t="str">
        <f>IF(OR(ISNUMBER(SEARCH("بدون مورد",H337)),ISNUMBER(SEARCH("غير گارانتي",H337)),ISNUMBER(SEARCH("غیر گارانتی",H337)),ISNUMBER(SEARCH("بدون اجرت",H337)),ISNUMBER(SEARCH("فيلتر",H337)),ISNUMBER(SEARCH("فیلتر",H337))),"غیرگارانتی/بدون قطعه",IF(OR(ISNUMBER(SEARCH("ريست",H337)),ISNUMBER(SEARCH("ریست",H337))),"ریست نرم‌افزاری (بدون قطعه)",IF(OR(ISNUMBER(SEARCH("تعویض محصول",H337)),ISNUMBER(SEARCH("تعویض دستگاه",H337))),"تعویض کامل دستگاه (Replacement)",IF(ISNUMBER(SEARCH("پمپ",H337)),IF(ISNUMBER(SEARCH("نشت",H337)),"نشتی - پمپ تخلیه (تعمیر/آب‌بندی)","خرابی - پمپ تخلیه (تعویض)"),IF(ISNUMBER(SEARCH("کمپرسور",H337)),"خرابی - کمپرسور (تعویض)",IF(ISNUMBER(SEARCH("کمک فنر",H337)),"خرابی - کمک فنر (تعویض)",IF(ISNUMBER(SEARCH("لولا",H337)),"مکانیزم درب - لولا (تعویض)",IF(OR(ISNUMBER(SEARCH("قلاب",H337)),ISNUMBER(SEARCH("ميکروسوئيچ",H337)),ISNUMBER(SEARCH("میکروسوئیچ",H337))),"مکانیزم درب - میکروسوئیچ/قلاب (تعویض/تنظیم)",IF(ISNUMBER(SEARCH("زبانه",H337)),"مکانیزم درب - زبانه (تعویض)",IF(OR(ISNUMBER(SEARCH("شيلنگ",H337)),ISNUMBER(SEARCH("شیلنگ",H337))),IF(OR(ISNUMBER(SEARCH("نشتی",H337)),ISNUMBER(SEARCH("نشتي",H337))),"نشتی - شیلنگ (تعمیر/آب‌بندی)",IF(OR(ISNUMBER(SEARCH("يخ",H337)),ISNUMBER(SEARCH("یخ",H337))),"شیلنگ یخساز - یخ‌زدگی (بازبینی)","شیلنگ - برخورد/لهیدگی (بازبینی)")),IF(OR(ISNUMBER(SEARCH("تنظيم ديسپل",H337)),ISNUMBER(SEARCH("تنظیم دیسپل",H337)),ISNUMBER(SEARCH("تنظيم صفحه نمايش",H337)),ISNUMBER(SEARCH("تنظیم صفحه نمایش",H337))),"تنظیم - تنظیمات دستگاه/دیسپلی (تعمیر)",IF(OR(ISNUMBER(SEARCH("برد",H337)),ISNUMBER(SEARCH("سوکت",H337)),ISNUMBER(SEARCH("ديسپل",H337)),ISNUMBER(SEARCH("دیسپل",H337))),"خرابی - برد الکترونیک (تعویض)",IF(OR(ISNUMBER(SEARCH("يخساز",H337)),ISNUMBER(SEARCH("یخساز",H337)),ISNUMBER(SEARCH("دمپر",H337))),IF(OR(ISNUMBER(SEARCH("خرابی",H337)),ISNUMBER(SEARCH("خراب",H337)),ISNUMBER(SEARCH("عدم کارکرد",H337)),ISNUMBER(SEARCH("عدم عملکرد",H337))),"یخساز - خرابی موتور/سنسور/برد (تعویض)","یخساز - تنظیم/عایق (تعمیر)"),IF(OR(ISNUMBER(SEARCH("لاستيک",H337)),ISNUMBER(SEARCH("لاستیک",H337))),"لاستیک درزگیر - دفرمگی/پارگی (تعویض)",IF(OR(ISNUMBER(SEARCH("گسکت",H337)),ISNUMBER(SEARCH("گسگت",H337))),"لاستیک درزگیر - دفرمگی/پارگی (تعویض)",IF(ISNUMBER(SEARCH("مخزن نمک",H337)),"نشتی - درب مخزن نمک (تعمیر/آب‌بندی)",IF(ISNUMBER(SEARCH("براکت",H337)),"نشتی - براکت ریل (تعمیر/آب‌بندی)",IF(ISNUMBER(SEARCH("جاپودر",H337)),"نشتی - جاپودری (تعمیر/آب‌بندی)",IF(ISNUMBER(SEARCH("مقسم",H337)),"نشتی - مقسم آب (تعمیر/آب‌بندی)",IF(OR(ISNUMBER(SEARCH("سنسور دما",H337)),ISNUMBER(SEARCH("ترموستات",H337))),"خرابی - ترموستات (تعویض)",IF(OR(ISNUMBER(SEARCH("هيدروستات",H337)),ISNUMBER(SEARCH("هیدروستات",H337))),"خرابی - هیدروستات (تعویض)",IF(OR(ISNUMBER(SEARCH("بلبرينگ",H337)),ISNUMBER(SEARCH("بلبرینگ",H337))),"خرابی - بلبرینگ (تعویض)",IF(OR(ISNUMBER(SEARCH("شيربرق",H337)),ISNUMBER(SEARCH("شیربرق",H337))),"خرابی - شیربرقی (تعویض)",IF(OR(ISNUMBER(SEARCH("واتر جت",H337)),ISNUMBER(SEARCH("واترجت",H337))),"خرابی - واترجت (تعویض)",IF(OR(ISNUMBER(SEARCH("سيم",H337)),ISNUMBER(SEARCH("سیم",H337)),ISNUMBER(SEARCH("اتصال",H337))),"سیم‌کشی/اتصالات (تعویض/بازبینی)",IF(OR(ISNUMBER(SEARCH("تصوير",H337)),ISNUMBER(SEARCH("تصویر",H337))),"برد نمایش تلویزیون (تعویض)",IF(OR(ISNUMBER(SEARCH("ريموت",H337)),ISNUMBER(SEARCH("ریموت",H337))),"ریموت کنترل (تعویض/تعمیر)",IF(OR(ISNUMBER(SEARCH("ال اي دي",H337)),ISNUMBER(SEARCH("ال ای دی",H337)),ISNUMBER(SEARCH("LED",H337))),"خرابی - لامپ/LED داخلی (تعویض)",IF(ISNUMBER(SEARCH("زنگ زدگ",H337)),"زنگ‌زدگی بدنه/قطعه (تعویض)",IF(OR(ISNUMBER(SEARCH("قطعات تزئين",H337)),ISNUMBER(SEARCH("قطعات تزئین",H337))),"قطعات تزئینی - شکستگی/کسری (تعویض)",IF(ISNUMBER(SEARCH("سبد",H337)),"سبد ظرفشویی - شکستگی (تعویض)",IF(ISNUMBER(SEARCH("تاب درام",H337)),"خرابی - تاب برداشتن درام (تعویض)",IF(ISNUMBER(SEARCH("درام",H337)),"خرابی - سایر ایراد درام (تعویض)",IF(ISNUMBER(SEARCH("موتور",H337)),"خرابی - موتور (تعویض)",IF(ISNUMBER(SEARCH("تسمه",H337)),"خرابی - تسمه (تعویض)",IF(OR(ISNUMBER(SEARCH("پيچ ولوم",H337)),ISNUMBER(SEARCH("پیچ ولوم",H337))),"تنظیم - پیچ ولوم/دکمه (تعمیر)",IF(OR(ISNUMBER(SEARCH("کسري قطعات",H337)),ISNUMBER(SEARCH("کسری قطعات",H337))),"کسری قطعات تزئینی (تعویض)",IF(ISNUMBER(SEARCH("پرچ",H337)),"پرچ/بدنه کابین(تعمیر)",IF(OR(ISNUMBER(SEARCH("نشت",H337)),ISNUMBER(SEARCH("آبريزش",H337)),ISNUMBER(SEARCH("آبریزش",H337))),"نشتی آب - محل نامشخص (نیازمند بازدید)",IF(ISNUMBER(SEARCH("درب",H337)),"سایر اجزای درب (بازبینی)",IF(ISNUMBER(SEARCH("ضربه",H337)),"بدنه/کابین - ضربه (بازبینی/تعویض پنل)",IF(ISNUMBER(SEARCH("تراز",H337)),"تراز/لرزش - نصب (رگلاژ پایه)",IF(OR(ISNUMBER(SEARCH("تعویض",H337)),ISNUMBER(SEARCH("تعويض",H337))),"تعویض کامل دستگاه (Replacement)","سایر (نیازمند بررسی دستی)")))))))))))))))))))))))))))))))))))))))))))</f>
        <v>خرابی - پمپ تخلیه (تعویض)</v>
      </c>
      <c r="N337" s="2" t="s">
        <v>517</v>
      </c>
      <c r="O337" s="2" t="str" cm="1">
        <f t="array" ref="O337">IF(A337="","",IF(SUMPRODUCT(($B$2:$B$965=B337)*($C$2:$C$965=C337)*($D$2:$D$965=D337)*($E$2:$E$965=E337)*($F$2:$F$965=F337)*($G$2:$G$965=G337)*($H$2:$H$965=H337)*($I$2:$I$965=I337)*($J$2:$J$965=J337)*($K$2:$K$965=K337)*($N$2:$N$965=N337))=1,"خیر",IF(SUMPRODUCT(($B$2:B337=B337)*($C$2:C337=C337)*($D$2:D337=D337)*($E$2:E337=E337)*($F$2:F337=F337)*($G$2:G337=G337)*($H$2:H337=H337)*($I$2:I337=I337)*($J$2:J337=J337)*($K$2:K337=K337)*($N$2:N337=N337))=1,"بله-1","بله")))</f>
        <v>خیر</v>
      </c>
      <c r="P337" s="5" t="str" cm="1">
        <f t="array" ref="P337">IF(A337="","",IF(SUMPRODUCT(($F$2:$F$969=F337)*($I$2:$I$969=I337))=1,"خیر",IF(SUMPRODUCT(($F$2:F337=F337)*($I$2:I337=I337))=1,"بله-1","بله")))</f>
        <v>خیر</v>
      </c>
    </row>
    <row r="338" spans="1:16" s="12" customFormat="1" ht="18.75" x14ac:dyDescent="0.25">
      <c r="A338" s="9" t="s">
        <v>537</v>
      </c>
      <c r="B338" s="9" t="s">
        <v>16</v>
      </c>
      <c r="C338" s="9" t="s">
        <v>17</v>
      </c>
      <c r="D338" s="9" t="s">
        <v>1356</v>
      </c>
      <c r="E338" s="9" t="s">
        <v>153</v>
      </c>
      <c r="F338" s="9" t="s">
        <v>524</v>
      </c>
      <c r="G338" s="9" t="s">
        <v>538</v>
      </c>
      <c r="H338" s="9" t="s">
        <v>539</v>
      </c>
      <c r="I338" s="9" t="s">
        <v>507</v>
      </c>
      <c r="J338" s="9" t="s">
        <v>516</v>
      </c>
      <c r="K338" s="9" t="s">
        <v>540</v>
      </c>
      <c r="L338" s="10">
        <f>IF(OR(TRIM(I338)="",TRIM(K338)=""),"",IFERROR((VALUE(LEFT(TRIM(I338),4))-VALUE(LEFT(TRIM(K338),4)))*12+VALUE(MID(TRIM(I338),6,2))-VALUE(MID(TRIM(K338),6,2)),""))</f>
        <v>2</v>
      </c>
      <c r="M338" s="9" t="str">
        <f>IF(TRIM(H338)="","",IFERROR(LOOKUP(2,1/(ISNUMBER(SEARCH('منطق دسته‌بندی'!$A$2:$A$187,H338))),'منطق دسته‌بندی'!$B$2:$B$187),"سایر (نیازمند بررسی دستی)"))</f>
        <v>لاستیک درزگیر - دفرمگی/پارگی (تعویض)</v>
      </c>
      <c r="N338" s="9" t="s">
        <v>24</v>
      </c>
      <c r="O338" s="9" t="str" cm="1">
        <f t="array" ref="O338">IF(A338="","",IF(SUMPRODUCT(($B$2:$B$965=B338)*($C$2:$C$965=C338)*($D$2:$D$965=D338)*($E$2:$E$965=E338)*($F$2:$F$965=F338)*($G$2:$G$965=G338)*($H$2:$H$965=H338)*($I$2:$I$965=I338)*($J$2:$J$965=J338)*($K$2:$K$965=K338)*($N$2:$N$965=N338))=1,"خیر",IF(SUMPRODUCT(($B$2:B338=B338)*($C$2:C338=C338)*($D$2:D338=D338)*($E$2:E338=E338)*($F$2:F338=F338)*($G$2:G338=G338)*($H$2:H338=H338)*($I$2:I338=I338)*($J$2:J338=J338)*($K$2:K338=K338)*($N$2:N338=N338))=1,"بله-1","بله")))</f>
        <v>خیر</v>
      </c>
      <c r="P338" s="11" t="str" cm="1">
        <f t="array" ref="P338">IF(A338="","",IF(SUMPRODUCT(($F$2:$F$969=F338)*($I$2:$I$969=I338))=1,"خیر",IF(SUMPRODUCT(($F$2:F338=F338)*($I$2:I338=I338))=1,"بله-1","بله")))</f>
        <v>خیر</v>
      </c>
    </row>
    <row r="339" spans="1:16" ht="18.75" x14ac:dyDescent="0.25">
      <c r="A339" s="2" t="s">
        <v>1344</v>
      </c>
      <c r="B339" s="2" t="s">
        <v>1040</v>
      </c>
      <c r="C339" s="2" t="s">
        <v>1041</v>
      </c>
      <c r="D339" s="2" t="s">
        <v>1356</v>
      </c>
      <c r="E339" s="2" t="s">
        <v>1154</v>
      </c>
      <c r="F339" s="2" t="s">
        <v>1345</v>
      </c>
      <c r="G339" s="2" t="s">
        <v>604</v>
      </c>
      <c r="H339" s="2" t="s">
        <v>1184</v>
      </c>
      <c r="I339" s="2" t="s">
        <v>1338</v>
      </c>
      <c r="J339" s="2" t="s">
        <v>1221</v>
      </c>
      <c r="K339" s="2" t="s">
        <v>586</v>
      </c>
      <c r="L339" s="3">
        <f>IF(OR(TRIM(I339)="",TRIM(K339)=""),"",IFERROR((VALUE(LEFT(TRIM(I339),4))-VALUE(LEFT(TRIM(K339),4)))*12+VALUE(MID(TRIM(I339),6,2))-VALUE(MID(TRIM(K339),6,2)),""))</f>
        <v>11</v>
      </c>
      <c r="M339" s="2" t="str">
        <f>IF(TRIM(H339)="","",IFERROR(LOOKUP(2,1/(ISNUMBER(SEARCH('منطق دسته‌بندی'!$A$2:$A$187,H339))),'منطق دسته‌بندی'!$B$2:$B$187),"سایر (نیازمند بررسی دستی)"))</f>
        <v>لاستیک درزگیر - دفرمگی/پارگی (تعویض)</v>
      </c>
      <c r="N339" s="2" t="s">
        <v>1188</v>
      </c>
      <c r="O339" s="2" t="str" cm="1">
        <f t="array" ref="O339">IF(A339="","",IF(SUMPRODUCT(($B$2:$B$965=B339)*($C$2:$C$965=C339)*($D$2:$D$965=D339)*($E$2:$E$965=E339)*($F$2:$F$965=F339)*($G$2:$G$965=G339)*($H$2:$H$965=H339)*($I$2:$I$965=I339)*($J$2:$J$965=J339)*($K$2:$K$965=K339)*($N$2:$N$965=N339))=1,"خیر",IF(SUMPRODUCT(($B$2:B339=B339)*($C$2:C339=C339)*($D$2:D339=D339)*($E$2:E339=E339)*($F$2:F339=F339)*($G$2:G339=G339)*($H$2:H339=H339)*($I$2:I339=I339)*($J$2:J339=J339)*($K$2:K339=K339)*($N$2:N339=N339))=1,"بله-1","بله")))</f>
        <v>خیر</v>
      </c>
      <c r="P339" s="5" t="str" cm="1">
        <f t="array" ref="P339">IF(A339="","",IF(SUMPRODUCT(($F$2:$F$969=F339)*($I$2:$I$969=I339))=1,"خیر",IF(SUMPRODUCT(($F$2:F339=F339)*($I$2:I339=I339))=1,"بله-1","بله")))</f>
        <v>خیر</v>
      </c>
    </row>
    <row r="340" spans="1:16" ht="18.75" x14ac:dyDescent="0.25">
      <c r="A340" s="2" t="s">
        <v>1223</v>
      </c>
      <c r="B340" s="2" t="s">
        <v>1040</v>
      </c>
      <c r="C340" s="2" t="s">
        <v>1041</v>
      </c>
      <c r="D340" s="2" t="s">
        <v>1356</v>
      </c>
      <c r="E340" s="2" t="s">
        <v>1154</v>
      </c>
      <c r="F340" s="2" t="s">
        <v>1224</v>
      </c>
      <c r="G340" s="2" t="s">
        <v>1225</v>
      </c>
      <c r="H340" s="2" t="s">
        <v>1226</v>
      </c>
      <c r="I340" s="2" t="s">
        <v>1220</v>
      </c>
      <c r="J340" s="2" t="s">
        <v>1221</v>
      </c>
      <c r="K340" s="2" t="s">
        <v>846</v>
      </c>
      <c r="L340" s="3">
        <f>IF(OR(TRIM(I340)="",TRIM(K340)=""),"",IFERROR((VALUE(LEFT(TRIM(I340),4))-VALUE(LEFT(TRIM(K340),4)))*12+VALUE(MID(TRIM(I340),6,2))-VALUE(MID(TRIM(K340),6,2)),""))</f>
        <v>3</v>
      </c>
      <c r="M340" s="2" t="str">
        <f>IF(TRIM(H340)="","",IFERROR(LOOKUP(2,1/(ISNUMBER(SEARCH('منطق دسته‌بندی'!$A$2:$A$187,H340))),'منطق دسته‌بندی'!$B$2:$B$187),"سایر (نیازمند بررسی دستی)"))</f>
        <v>خرابی - برد الکترونیک (تعویض)</v>
      </c>
      <c r="N340" s="2" t="s">
        <v>1227</v>
      </c>
      <c r="O340" s="2" t="str" cm="1">
        <f t="array" ref="O340">IF(A340="","",IF(SUMPRODUCT(($B$2:$B$965=B340)*($C$2:$C$965=C340)*($D$2:$D$965=D340)*($E$2:$E$965=E340)*($F$2:$F$965=F340)*($G$2:$G$965=G340)*($H$2:$H$965=H340)*($I$2:$I$965=I340)*($J$2:$J$965=J340)*($K$2:$K$965=K340)*($N$2:$N$965=N340))=1,"خیر",IF(SUMPRODUCT(($B$2:B340=B340)*($C$2:C340=C340)*($D$2:D340=D340)*($E$2:E340=E340)*($F$2:F340=F340)*($G$2:G340=G340)*($H$2:H340=H340)*($I$2:I340=I340)*($J$2:J340=J340)*($K$2:K340=K340)*($N$2:N340=N340))=1,"بله-1","بله")))</f>
        <v>خیر</v>
      </c>
      <c r="P340" s="5" t="str" cm="1">
        <f t="array" ref="P340">IF(A340="","",IF(SUMPRODUCT(($F$2:$F$969=F340)*($I$2:$I$969=I340))=1,"خیر",IF(SUMPRODUCT(($F$2:F340=F340)*($I$2:I340=I340))=1,"بله-1","بله")))</f>
        <v>خیر</v>
      </c>
    </row>
    <row r="341" spans="1:16" ht="18.75" x14ac:dyDescent="0.25">
      <c r="A341" s="2" t="s">
        <v>1308</v>
      </c>
      <c r="B341" s="2" t="s">
        <v>1040</v>
      </c>
      <c r="C341" s="2" t="s">
        <v>1041</v>
      </c>
      <c r="D341" s="2" t="s">
        <v>1356</v>
      </c>
      <c r="E341" s="2" t="s">
        <v>1154</v>
      </c>
      <c r="F341" s="2" t="s">
        <v>1309</v>
      </c>
      <c r="G341" s="2" t="s">
        <v>659</v>
      </c>
      <c r="H341" s="2" t="s">
        <v>1226</v>
      </c>
      <c r="I341" s="2" t="s">
        <v>1305</v>
      </c>
      <c r="J341" s="2" t="s">
        <v>1221</v>
      </c>
      <c r="K341" s="2" t="s">
        <v>1310</v>
      </c>
      <c r="L341" s="3">
        <f>IF(OR(TRIM(I341)="",TRIM(K341)=""),"",IFERROR((VALUE(LEFT(TRIM(I341),4))-VALUE(LEFT(TRIM(K341),4)))*12+VALUE(MID(TRIM(I341),6,2))-VALUE(MID(TRIM(K341),6,2)),""))</f>
        <v>10</v>
      </c>
      <c r="M341" s="2" t="str">
        <f>IF(TRIM(H341)="","",IFERROR(LOOKUP(2,1/(ISNUMBER(SEARCH('منطق دسته‌بندی'!$A$2:$A$187,H341))),'منطق دسته‌بندی'!$B$2:$B$187),"سایر (نیازمند بررسی دستی)"))</f>
        <v>خرابی - برد الکترونیک (تعویض)</v>
      </c>
      <c r="N341" s="2" t="s">
        <v>1227</v>
      </c>
      <c r="O341" s="2" t="str" cm="1">
        <f t="array" ref="O341">IF(A341="","",IF(SUMPRODUCT(($B$2:$B$965=B341)*($C$2:$C$965=C341)*($D$2:$D$965=D341)*($E$2:$E$965=E341)*($F$2:$F$965=F341)*($G$2:$G$965=G341)*($H$2:$H$965=H341)*($I$2:$I$965=I341)*($J$2:$J$965=J341)*($K$2:$K$965=K341)*($N$2:$N$965=N341))=1,"خیر",IF(SUMPRODUCT(($B$2:B341=B341)*($C$2:C341=C341)*($D$2:D341=D341)*($E$2:E341=E341)*($F$2:F341=F341)*($G$2:G341=G341)*($H$2:H341=H341)*($I$2:I341=I341)*($J$2:J341=J341)*($K$2:K341=K341)*($N$2:N341=N341))=1,"بله-1","بله")))</f>
        <v>خیر</v>
      </c>
      <c r="P341" s="5" t="str" cm="1">
        <f t="array" ref="P341">IF(A341="","",IF(SUMPRODUCT(($F$2:$F$969=F341)*($I$2:$I$969=I341))=1,"خیر",IF(SUMPRODUCT(($F$2:F341=F341)*($I$2:I341=I341))=1,"بله-1","بله")))</f>
        <v>خیر</v>
      </c>
    </row>
    <row r="342" spans="1:16" ht="37.5" x14ac:dyDescent="0.25">
      <c r="A342" s="2" t="s">
        <v>152</v>
      </c>
      <c r="B342" s="2" t="s">
        <v>16</v>
      </c>
      <c r="C342" s="2" t="s">
        <v>17</v>
      </c>
      <c r="D342" s="2" t="s">
        <v>1356</v>
      </c>
      <c r="E342" s="2" t="s">
        <v>153</v>
      </c>
      <c r="F342" s="2" t="s">
        <v>154</v>
      </c>
      <c r="G342" s="2" t="s">
        <v>155</v>
      </c>
      <c r="H342" s="2" t="s">
        <v>139</v>
      </c>
      <c r="I342" s="2" t="s">
        <v>47</v>
      </c>
      <c r="J342" s="2" t="s">
        <v>156</v>
      </c>
      <c r="K342" s="2" t="s">
        <v>157</v>
      </c>
      <c r="L342" s="3">
        <f>IF(OR(TRIM(I342)="",TRIM(K342)=""),"",IFERROR((VALUE(LEFT(TRIM(I342),4))-VALUE(LEFT(TRIM(K342),4)))*12+VALUE(MID(TRIM(I342),6,2))-VALUE(MID(TRIM(K342),6,2)),""))</f>
        <v>9</v>
      </c>
      <c r="M342" s="2" t="str">
        <f>IF(TRIM(H342)="","",IFERROR(LOOKUP(2,1/(ISNUMBER(SEARCH('منطق دسته‌بندی'!$A$2:$A$187,H342))),'منطق دسته‌بندی'!$B$2:$B$187),"سایر (نیازمند بررسی دستی)"))</f>
        <v>تراز/لرزش - نصب (رگلاژ پایه)</v>
      </c>
      <c r="N342" s="2" t="s">
        <v>158</v>
      </c>
      <c r="O342" s="2" t="str" cm="1">
        <f t="array" ref="O342">IF(A342="","",IF(SUMPRODUCT(($B$2:$B$965=B342)*($C$2:$C$965=C342)*($D$2:$D$965=D342)*($E$2:$E$965=E342)*($F$2:$F$965=F342)*($G$2:$G$965=G342)*($H$2:$H$965=H342)*($I$2:$I$965=I342)*($J$2:$J$965=J342)*($K$2:$K$965=K342)*($N$2:$N$965=N342))=1,"خیر",IF(SUMPRODUCT(($B$2:B342=B342)*($C$2:C342=C342)*($D$2:D342=D342)*($E$2:E342=E342)*($F$2:F342=F342)*($G$2:G342=G342)*($H$2:H342=H342)*($I$2:I342=I342)*($J$2:J342=J342)*($K$2:K342=K342)*($N$2:N342=N342))=1,"بله-1","بله")))</f>
        <v>خیر</v>
      </c>
      <c r="P342" s="5" t="str" cm="1">
        <f t="array" ref="P342">IF(A342="","",IF(SUMPRODUCT(($F$2:$F$969=F342)*($I$2:$I$969=I342))=1,"خیر",IF(SUMPRODUCT(($F$2:F342=F342)*($I$2:I342=I342))=1,"بله-1","بله")))</f>
        <v>خیر</v>
      </c>
    </row>
    <row r="343" spans="1:16" ht="18.75" x14ac:dyDescent="0.25">
      <c r="A343" s="2" t="s">
        <v>565</v>
      </c>
      <c r="B343" s="2" t="s">
        <v>16</v>
      </c>
      <c r="C343" s="2" t="s">
        <v>17</v>
      </c>
      <c r="D343" s="2" t="s">
        <v>1356</v>
      </c>
      <c r="E343" s="2" t="s">
        <v>18</v>
      </c>
      <c r="F343" s="2" t="s">
        <v>566</v>
      </c>
      <c r="G343" s="2" t="s">
        <v>27</v>
      </c>
      <c r="H343" s="2" t="s">
        <v>139</v>
      </c>
      <c r="I343" s="2" t="s">
        <v>549</v>
      </c>
      <c r="J343" s="2" t="s">
        <v>567</v>
      </c>
      <c r="K343" s="2" t="s">
        <v>159</v>
      </c>
      <c r="L343" s="3">
        <f>IF(OR(TRIM(I343)="",TRIM(K343)=""),"",IFERROR((VALUE(LEFT(TRIM(I343),4))-VALUE(LEFT(TRIM(K343),4)))*12+VALUE(MID(TRIM(I343),6,2))-VALUE(MID(TRIM(K343),6,2)),""))</f>
        <v>0</v>
      </c>
      <c r="M343" s="2" t="str">
        <f>IF(TRIM(H343)="","",IFERROR(LOOKUP(2,1/(ISNUMBER(SEARCH('منطق دسته‌بندی'!$A$2:$A$187,H343))),'منطق دسته‌بندی'!$B$2:$B$187),"سایر (نیازمند بررسی دستی)"))</f>
        <v>تراز/لرزش - نصب (رگلاژ پایه)</v>
      </c>
      <c r="N343" s="2" t="s">
        <v>158</v>
      </c>
      <c r="O343" s="2" t="str" cm="1">
        <f t="array" ref="O343">IF(A343="","",IF(SUMPRODUCT(($B$2:$B$965=B343)*($C$2:$C$965=C343)*($D$2:$D$965=D343)*($E$2:$E$965=E343)*($F$2:$F$965=F343)*($G$2:$G$965=G343)*($H$2:$H$965=H343)*($I$2:$I$965=I343)*($J$2:$J$965=J343)*($K$2:$K$965=K343)*($N$2:$N$965=N343))=1,"خیر",IF(SUMPRODUCT(($B$2:B343=B343)*($C$2:C343=C343)*($D$2:D343=D343)*($E$2:E343=E343)*($F$2:F343=F343)*($G$2:G343=G343)*($H$2:H343=H343)*($I$2:I343=I343)*($J$2:J343=J343)*($K$2:K343=K343)*($N$2:N343=N343))=1,"بله-1","بله")))</f>
        <v>خیر</v>
      </c>
      <c r="P343" s="5" t="str" cm="1">
        <f t="array" ref="P343">IF(A343="","",IF(SUMPRODUCT(($F$2:$F$969=F343)*($I$2:$I$969=I343))=1,"خیر",IF(SUMPRODUCT(($F$2:F343=F343)*($I$2:I343=I343))=1,"بله-1","بله")))</f>
        <v>خیر</v>
      </c>
    </row>
    <row r="344" spans="1:16" ht="18.75" x14ac:dyDescent="0.25">
      <c r="A344" s="2" t="s">
        <v>614</v>
      </c>
      <c r="B344" s="2" t="s">
        <v>16</v>
      </c>
      <c r="C344" s="2" t="s">
        <v>17</v>
      </c>
      <c r="D344" s="2" t="s">
        <v>1356</v>
      </c>
      <c r="E344" s="2" t="s">
        <v>153</v>
      </c>
      <c r="F344" s="2" t="s">
        <v>615</v>
      </c>
      <c r="G344" s="2" t="s">
        <v>453</v>
      </c>
      <c r="H344" s="2" t="s">
        <v>149</v>
      </c>
      <c r="I344" s="2" t="s">
        <v>580</v>
      </c>
      <c r="J344" s="2" t="s">
        <v>240</v>
      </c>
      <c r="K344" s="2" t="s">
        <v>616</v>
      </c>
      <c r="L344" s="3">
        <f>IF(OR(TRIM(I344)="",TRIM(K344)=""),"",IFERROR((VALUE(LEFT(TRIM(I344),4))-VALUE(LEFT(TRIM(K344),4)))*12+VALUE(MID(TRIM(I344),6,2))-VALUE(MID(TRIM(K344),6,2)),""))</f>
        <v>1</v>
      </c>
      <c r="M344" s="2" t="str">
        <f>IF(TRIM(H344)="","",IFERROR(LOOKUP(2,1/(ISNUMBER(SEARCH('منطق دسته‌بندی'!$A$2:$A$187,H344))),'منطق دسته‌بندی'!$B$2:$B$187),"سایر (نیازمند بررسی دستی)"))</f>
        <v>خرابی - شیربرقی (تعویض)</v>
      </c>
      <c r="N344" s="2" t="s">
        <v>454</v>
      </c>
      <c r="O344" s="2" t="str" cm="1">
        <f t="array" ref="O344">IF(A344="","",IF(SUMPRODUCT(($B$2:$B$965=B344)*($C$2:$C$965=C344)*($D$2:$D$965=D344)*($E$2:$E$965=E344)*($F$2:$F$965=F344)*($G$2:$G$965=G344)*($H$2:$H$965=H344)*($I$2:$I$965=I344)*($J$2:$J$965=J344)*($K$2:$K$965=K344)*($N$2:$N$965=N344))=1,"خیر",IF(SUMPRODUCT(($B$2:B344=B344)*($C$2:C344=C344)*($D$2:D344=D344)*($E$2:E344=E344)*($F$2:F344=F344)*($G$2:G344=G344)*($H$2:H344=H344)*($I$2:I344=I344)*($J$2:J344=J344)*($K$2:K344=K344)*($N$2:N344=N344))=1,"بله-1","بله")))</f>
        <v>خیر</v>
      </c>
      <c r="P344" s="5" t="str" cm="1">
        <f t="array" ref="P344">IF(A344="","",IF(SUMPRODUCT(($F$2:$F$969=F344)*($I$2:$I$969=I344))=1,"خیر",IF(SUMPRODUCT(($F$2:F344=F344)*($I$2:I344=I344))=1,"بله-1","بله")))</f>
        <v>خیر</v>
      </c>
    </row>
    <row r="345" spans="1:16" ht="18.75" x14ac:dyDescent="0.25">
      <c r="A345" s="2">
        <v>510026081</v>
      </c>
      <c r="B345" s="2" t="s">
        <v>1950</v>
      </c>
      <c r="C345" s="2" t="s">
        <v>1951</v>
      </c>
      <c r="D345" s="2" t="s">
        <v>1356</v>
      </c>
      <c r="E345" s="2" t="s">
        <v>1154</v>
      </c>
      <c r="F345" s="2" t="s">
        <v>1535</v>
      </c>
      <c r="G345" s="2" t="s">
        <v>1536</v>
      </c>
      <c r="H345" s="2" t="s">
        <v>1462</v>
      </c>
      <c r="I345" s="2" t="s">
        <v>1479</v>
      </c>
      <c r="J345" s="2" t="s">
        <v>859</v>
      </c>
      <c r="K345" s="2" t="s">
        <v>850</v>
      </c>
      <c r="L345" s="3">
        <f>IF(OR(TRIM(I345)="",TRIM(K345)=""),"",IFERROR((VALUE(LEFT(TRIM(I345),4))-VALUE(LEFT(TRIM(K345),4)))*12+VALUE(MID(TRIM(I345),6,2))-VALUE(MID(TRIM(K345),6,2)),""))</f>
        <v>12</v>
      </c>
      <c r="M345" s="2" t="str">
        <f>IF(TRIM(H345)="","",IFERROR(LOOKUP(2,1/(ISNUMBER(SEARCH('منطق دسته‌بندی'!$A$2:$A$187,H345))),'منطق دسته‌بندی'!$B$2:$B$187),"سایر (نیازمند بررسی دستی)"))</f>
        <v>خرابی - برد الکترونیک (تعویض)</v>
      </c>
      <c r="N345" s="2" t="s">
        <v>1537</v>
      </c>
      <c r="O345" s="2" t="str" cm="1">
        <f t="array" ref="O345">IF(A345="","",IF(SUMPRODUCT(($B$2:$B$965=B345)*($C$2:$C$965=C345)*($D$2:$D$965=D345)*($E$2:$E$965=E345)*($F$2:$F$965=F345)*($G$2:$G$965=G345)*($H$2:$H$965=H345)*($I$2:$I$965=I345)*($J$2:$J$965=J345)*($K$2:$K$965=K345)*($N$2:$N$965=N345))=1,"خیر",IF(SUMPRODUCT(($B$2:B345=B345)*($C$2:C345=C345)*($D$2:D345=D345)*($E$2:E345=E345)*($F$2:F345=F345)*($G$2:G345=G345)*($H$2:H345=H345)*($I$2:I345=I345)*($J$2:J345=J345)*($K$2:K345=K345)*($N$2:N345=N345))=1,"بله-1","بله")))</f>
        <v>خیر</v>
      </c>
      <c r="P345" s="5" t="str" cm="1">
        <f t="array" ref="P345">IF(A345="","",IF(SUMPRODUCT(($F$2:$F$969=F345)*($I$2:$I$969=I345))=1,"خیر",IF(SUMPRODUCT(($F$2:F345=F345)*($I$2:I345=I345))=1,"بله-1","بله")))</f>
        <v>خیر</v>
      </c>
    </row>
    <row r="346" spans="1:16" ht="18.75" x14ac:dyDescent="0.25">
      <c r="A346" s="2">
        <v>210019974</v>
      </c>
      <c r="B346" s="2" t="s">
        <v>1040</v>
      </c>
      <c r="C346" s="2" t="s">
        <v>1041</v>
      </c>
      <c r="D346" s="2" t="s">
        <v>1356</v>
      </c>
      <c r="E346" s="2" t="s">
        <v>1154</v>
      </c>
      <c r="F346" s="2" t="s">
        <v>1521</v>
      </c>
      <c r="G346" s="2" t="s">
        <v>1522</v>
      </c>
      <c r="H346" s="18" t="s">
        <v>1526</v>
      </c>
      <c r="I346" s="2" t="s">
        <v>1416</v>
      </c>
      <c r="J346" s="2" t="s">
        <v>1523</v>
      </c>
      <c r="K346" s="2" t="s">
        <v>660</v>
      </c>
      <c r="L346" s="3">
        <f>IF(OR(TRIM(I346)="",TRIM(K346)=""),"",IFERROR((VALUE(LEFT(TRIM(I346),4))-VALUE(LEFT(TRIM(K346),4)))*12+VALUE(MID(TRIM(I346),6,2))-VALUE(MID(TRIM(K346),6,2)),""))</f>
        <v>3</v>
      </c>
      <c r="M346" s="2" t="str">
        <f>IF(TRIM(H346)="","",IFERROR(LOOKUP(2,1/(ISNUMBER(SEARCH('منطق دسته‌بندی'!$A$2:$A$187,H346))),'منطق دسته‌بندی'!$B$2:$B$187),"سایر (نیازمند بررسی دستی)"))</f>
        <v>تراز/لرزش - نصب (رگلاژ پایه)</v>
      </c>
      <c r="N346" s="2" t="s">
        <v>1381</v>
      </c>
      <c r="O346" s="2" t="str" cm="1">
        <f t="array" ref="O346">IF(A346="","",IF(SUMPRODUCT(($B$2:$B$965=B346)*($C$2:$C$965=C346)*($D$2:$D$965=D346)*($E$2:$E$965=E346)*($F$2:$F$965=F346)*($G$2:$G$965=G346)*($H$2:$H$965=H346)*($I$2:$I$965=I346)*($J$2:$J$965=J346)*($K$2:$K$965=K346)*($N$2:$N$965=N346))=1,"خیر",IF(SUMPRODUCT(($B$2:B346=B346)*($C$2:C346=C346)*($D$2:D346=D346)*($E$2:E346=E346)*($F$2:F346=F346)*($G$2:G346=G346)*($H$2:H346=H346)*($I$2:I346=I346)*($J$2:J346=J346)*($K$2:K346=K346)*($N$2:N346=N346))=1,"بله-1","بله")))</f>
        <v>خیر</v>
      </c>
      <c r="P346" s="5" t="str" cm="1">
        <f t="array" ref="P346">IF(A346="","",IF(SUMPRODUCT(($F$2:$F$969=F346)*($I$2:$I$969=I346))=1,"خیر",IF(SUMPRODUCT(($F$2:F346=F346)*($I$2:I346=I346))=1,"بله-1","بله")))</f>
        <v>خیر</v>
      </c>
    </row>
    <row r="347" spans="1:16" ht="18.75" x14ac:dyDescent="0.25">
      <c r="A347" s="2" t="s">
        <v>657</v>
      </c>
      <c r="B347" s="2" t="s">
        <v>632</v>
      </c>
      <c r="C347" s="2" t="s">
        <v>633</v>
      </c>
      <c r="D347" s="2" t="s">
        <v>1356</v>
      </c>
      <c r="E347" s="2" t="s">
        <v>153</v>
      </c>
      <c r="F347" s="2" t="s">
        <v>658</v>
      </c>
      <c r="G347" s="2" t="s">
        <v>659</v>
      </c>
      <c r="H347" s="2" t="s">
        <v>37</v>
      </c>
      <c r="I347" s="2" t="s">
        <v>660</v>
      </c>
      <c r="J347" s="2" t="s">
        <v>661</v>
      </c>
      <c r="K347" s="2" t="s">
        <v>483</v>
      </c>
      <c r="L347" s="3">
        <f>IF(OR(TRIM(I347)="",TRIM(K347)=""),"",IFERROR((VALUE(LEFT(TRIM(I347),4))-VALUE(LEFT(TRIM(K347),4)))*12+VALUE(MID(TRIM(I347),6,2))-VALUE(MID(TRIM(K347),6,2)),""))</f>
        <v>6</v>
      </c>
      <c r="M347" s="2" t="str">
        <f>IF(TRIM(H347)="","",IFERROR(LOOKUP(2,1/(ISNUMBER(SEARCH('منطق دسته‌بندی'!$A$2:$A$187,H347))),'منطق دسته‌بندی'!$B$2:$B$187),"سایر (نیازمند بررسی دستی)"))</f>
        <v>خرابی - برد الکترونیک (تعویض)</v>
      </c>
      <c r="N347" s="2" t="s">
        <v>40</v>
      </c>
      <c r="O347" s="2" t="str" cm="1">
        <f t="array" ref="O347">IF(A347="","",IF(SUMPRODUCT(($B$2:$B$965=B347)*($C$2:$C$965=C347)*($D$2:$D$965=D347)*($E$2:$E$965=E347)*($F$2:$F$965=F347)*($G$2:$G$965=G347)*($H$2:$H$965=H347)*($I$2:$I$965=I347)*($J$2:$J$965=J347)*($K$2:$K$965=K347)*($N$2:$N$965=N347))=1,"خیر",IF(SUMPRODUCT(($B$2:B347=B347)*($C$2:C347=C347)*($D$2:D347=D347)*($E$2:E347=E347)*($F$2:F347=F347)*($G$2:G347=G347)*($H$2:H347=H347)*($I$2:I347=I347)*($J$2:J347=J347)*($K$2:K347=K347)*($N$2:N347=N347))=1,"بله-1","بله")))</f>
        <v>خیر</v>
      </c>
      <c r="P347" s="5" t="str" cm="1">
        <f t="array" ref="P347">IF(A347="","",IF(SUMPRODUCT(($F$2:$F$969=F347)*($I$2:$I$969=I347))=1,"خیر",IF(SUMPRODUCT(($F$2:F347=F347)*($I$2:I347=I347))=1,"بله-1","بله")))</f>
        <v>خیر</v>
      </c>
    </row>
    <row r="348" spans="1:16" ht="18.75" x14ac:dyDescent="0.25">
      <c r="A348" s="2">
        <v>210021494</v>
      </c>
      <c r="B348" s="2" t="s">
        <v>1950</v>
      </c>
      <c r="C348" s="2" t="s">
        <v>1951</v>
      </c>
      <c r="D348" s="2" t="s">
        <v>1356</v>
      </c>
      <c r="E348" s="2" t="s">
        <v>1621</v>
      </c>
      <c r="F348" s="2" t="s">
        <v>1633</v>
      </c>
      <c r="G348" s="2" t="s">
        <v>1580</v>
      </c>
      <c r="H348" s="18" t="s">
        <v>1526</v>
      </c>
      <c r="I348" s="2" t="s">
        <v>1379</v>
      </c>
      <c r="J348" s="2" t="s">
        <v>966</v>
      </c>
      <c r="K348" s="2" t="s">
        <v>737</v>
      </c>
      <c r="L348" s="3">
        <f>IF(OR(TRIM(I348)="",TRIM(K348)=""),"",IFERROR((VALUE(LEFT(TRIM(I348),4))-VALUE(LEFT(TRIM(K348),4)))*12+VALUE(MID(TRIM(I348),6,2))-VALUE(MID(TRIM(K348),6,2)),""))</f>
        <v>4</v>
      </c>
      <c r="M348" s="2" t="str">
        <f>IF(TRIM(H348)="","",IFERROR(LOOKUP(2,1/(ISNUMBER(SEARCH('منطق دسته‌بندی'!$A$2:$A$187,H348))),'منطق دسته‌بندی'!$B$2:$B$187),"سایر (نیازمند بررسی دستی)"))</f>
        <v>تراز/لرزش - نصب (رگلاژ پایه)</v>
      </c>
      <c r="N348" s="2" t="s">
        <v>1381</v>
      </c>
      <c r="O348" s="2" t="str" cm="1">
        <f t="array" ref="O348">IF(A348="","",IF(SUMPRODUCT(($B$2:$B$965=B348)*($C$2:$C$965=C348)*($D$2:$D$965=D348)*($E$2:$E$965=E348)*($F$2:$F$965=F348)*($G$2:$G$965=G348)*($H$2:$H$965=H348)*($I$2:$I$965=I348)*($J$2:$J$965=J348)*($K$2:$K$965=K348)*($N$2:$N$965=N348))=1,"خیر",IF(SUMPRODUCT(($B$2:B348=B348)*($C$2:C348=C348)*($D$2:D348=D348)*($E$2:E348=E348)*($F$2:F348=F348)*($G$2:G348=G348)*($H$2:H348=H348)*($I$2:I348=I348)*($J$2:J348=J348)*($K$2:K348=K348)*($N$2:N348=N348))=1,"بله-1","بله")))</f>
        <v>خیر</v>
      </c>
      <c r="P348" s="5" t="str" cm="1">
        <f t="array" ref="P348">IF(A348="","",IF(SUMPRODUCT(($F$2:$F$969=F348)*($I$2:$I$969=I348))=1,"خیر",IF(SUMPRODUCT(($F$2:F348=F348)*($I$2:I348=I348))=1,"بله-1","بله")))</f>
        <v>خیر</v>
      </c>
    </row>
    <row r="349" spans="1:16" ht="18.75" x14ac:dyDescent="0.25">
      <c r="A349" s="2" t="s">
        <v>743</v>
      </c>
      <c r="B349" s="2" t="s">
        <v>632</v>
      </c>
      <c r="C349" s="2" t="s">
        <v>633</v>
      </c>
      <c r="D349" s="2" t="s">
        <v>1356</v>
      </c>
      <c r="E349" s="2" t="s">
        <v>137</v>
      </c>
      <c r="F349" s="2" t="s">
        <v>744</v>
      </c>
      <c r="G349" s="2" t="s">
        <v>659</v>
      </c>
      <c r="H349" s="2" t="s">
        <v>745</v>
      </c>
      <c r="I349" s="2" t="s">
        <v>740</v>
      </c>
      <c r="J349" s="2" t="s">
        <v>746</v>
      </c>
      <c r="K349" s="2" t="s">
        <v>747</v>
      </c>
      <c r="L349" s="3">
        <f>IF(OR(TRIM(I349)="",TRIM(K349)=""),"",IFERROR((VALUE(LEFT(TRIM(I349),4))-VALUE(LEFT(TRIM(K349),4)))*12+VALUE(MID(TRIM(I349),6,2))-VALUE(MID(TRIM(K349),6,2)),""))</f>
        <v>8</v>
      </c>
      <c r="M349" s="2" t="str">
        <f>IF(TRIM(H349)="","",IFERROR(LOOKUP(2,1/(ISNUMBER(SEARCH('منطق دسته‌بندی'!$A$2:$A$187,H349))),'منطق دسته‌بندی'!$B$2:$B$187),"سایر (نیازمند بررسی دستی)"))</f>
        <v>خرابی - برد الکترونیک (تعویض)</v>
      </c>
      <c r="N349" s="2" t="s">
        <v>40</v>
      </c>
      <c r="O349" s="2" t="str" cm="1">
        <f t="array" ref="O349">IF(A349="","",IF(SUMPRODUCT(($B$2:$B$965=B349)*($C$2:$C$965=C349)*($D$2:$D$965=D349)*($E$2:$E$965=E349)*($F$2:$F$965=F349)*($G$2:$G$965=G349)*($H$2:$H$965=H349)*($I$2:$I$965=I349)*($J$2:$J$965=J349)*($K$2:$K$965=K349)*($N$2:$N$965=N349))=1,"خیر",IF(SUMPRODUCT(($B$2:B349=B349)*($C$2:C349=C349)*($D$2:D349=D349)*($E$2:E349=E349)*($F$2:F349=F349)*($G$2:G349=G349)*($H$2:H349=H349)*($I$2:I349=I349)*($J$2:J349=J349)*($K$2:K349=K349)*($N$2:N349=N349))=1,"بله-1","بله")))</f>
        <v>خیر</v>
      </c>
      <c r="P349" s="5" t="str" cm="1">
        <f t="array" ref="P349">IF(A349="","",IF(SUMPRODUCT(($F$2:$F$969=F349)*($I$2:$I$969=I349))=1,"خیر",IF(SUMPRODUCT(($F$2:F349=F349)*($I$2:I349=I349))=1,"بله-1","بله")))</f>
        <v>خیر</v>
      </c>
    </row>
    <row r="350" spans="1:16" ht="18.75" x14ac:dyDescent="0.25">
      <c r="A350" s="2" t="s">
        <v>350</v>
      </c>
      <c r="B350" s="2" t="s">
        <v>16</v>
      </c>
      <c r="C350" s="2" t="s">
        <v>17</v>
      </c>
      <c r="D350" s="2" t="s">
        <v>1356</v>
      </c>
      <c r="E350" s="2" t="s">
        <v>137</v>
      </c>
      <c r="F350" s="2" t="s">
        <v>351</v>
      </c>
      <c r="G350" s="2" t="s">
        <v>84</v>
      </c>
      <c r="H350" s="2" t="s">
        <v>352</v>
      </c>
      <c r="I350" s="2" t="s">
        <v>159</v>
      </c>
      <c r="J350" s="2" t="s">
        <v>353</v>
      </c>
      <c r="K350" s="2" t="s">
        <v>87</v>
      </c>
      <c r="L350" s="3">
        <f>IF(OR(TRIM(I350)="",TRIM(K350)=""),"",IFERROR((VALUE(LEFT(TRIM(I350),4))-VALUE(LEFT(TRIM(K350),4)))*12+VALUE(MID(TRIM(I350),6,2))-VALUE(MID(TRIM(K350),6,2)),""))</f>
        <v>0</v>
      </c>
      <c r="M350" s="2" t="str">
        <f>IF(TRIM(H350)="","",IFERROR(LOOKUP(2,1/(ISNUMBER(SEARCH('منطق دسته‌بندی'!$A$2:$A$187,H350))),'منطق دسته‌بندی'!$B$2:$B$187),"سایر (نیازمند بررسی دستی)"))</f>
        <v>لاستیک درزگیر - دفرمگی/پارگی (تعویض)</v>
      </c>
      <c r="N350" s="2" t="s">
        <v>354</v>
      </c>
      <c r="O350" s="2" t="str" cm="1">
        <f t="array" ref="O350">IF(A350="","",IF(SUMPRODUCT(($B$2:$B$965=B350)*($C$2:$C$965=C350)*($D$2:$D$965=D350)*($E$2:$E$965=E350)*($F$2:$F$965=F350)*($G$2:$G$965=G350)*($H$2:$H$965=H350)*($I$2:$I$965=I350)*($J$2:$J$965=J350)*($K$2:$K$965=K350)*($N$2:$N$965=N350))=1,"خیر",IF(SUMPRODUCT(($B$2:B350=B350)*($C$2:C350=C350)*($D$2:D350=D350)*($E$2:E350=E350)*($F$2:F350=F350)*($G$2:G350=G350)*($H$2:H350=H350)*($I$2:I350=I350)*($J$2:J350=J350)*($K$2:K350=K350)*($N$2:N350=N350))=1,"بله-1","بله")))</f>
        <v>خیر</v>
      </c>
      <c r="P350" s="5" t="str" cm="1">
        <f t="array" ref="P350">IF(A350="","",IF(SUMPRODUCT(($F$2:$F$969=F350)*($I$2:$I$969=I350))=1,"خیر",IF(SUMPRODUCT(($F$2:F350=F350)*($I$2:I350=I350))=1,"بله-1","بله")))</f>
        <v>خیر</v>
      </c>
    </row>
    <row r="351" spans="1:16" ht="18.75" x14ac:dyDescent="0.25">
      <c r="A351" s="2">
        <v>710005617</v>
      </c>
      <c r="B351" s="2" t="s">
        <v>1950</v>
      </c>
      <c r="C351" s="2" t="s">
        <v>1951</v>
      </c>
      <c r="D351" s="2" t="s">
        <v>1356</v>
      </c>
      <c r="E351" s="2" t="s">
        <v>1621</v>
      </c>
      <c r="F351" s="2" t="s">
        <v>1622</v>
      </c>
      <c r="G351" s="2" t="s">
        <v>1611</v>
      </c>
      <c r="H351" s="2" t="s">
        <v>1612</v>
      </c>
      <c r="I351" s="2" t="s">
        <v>1479</v>
      </c>
      <c r="J351" s="2" t="s">
        <v>353</v>
      </c>
      <c r="K351" s="2" t="s">
        <v>964</v>
      </c>
      <c r="L351" s="3">
        <f>IF(OR(TRIM(I351)="",TRIM(K351)=""),"",IFERROR((VALUE(LEFT(TRIM(I351),4))-VALUE(LEFT(TRIM(K351),4)))*12+VALUE(MID(TRIM(I351),6,2))-VALUE(MID(TRIM(K351),6,2)),""))</f>
        <v>3</v>
      </c>
      <c r="M351" s="2" t="str">
        <f>IF(TRIM(H351)="","",IFERROR(LOOKUP(2,1/(ISNUMBER(SEARCH('منطق دسته‌بندی'!$A$2:$A$187,H351))),'منطق دسته‌بندی'!$B$2:$B$187),"سایر (نیازمند بررسی دستی)"))</f>
        <v>لاستیک درزگیر - دفرمگی/پارگی (تعویض)</v>
      </c>
      <c r="N351" s="2" t="s">
        <v>1613</v>
      </c>
      <c r="O351" s="2" t="str" cm="1">
        <f t="array" ref="O351">IF(A351="","",IF(SUMPRODUCT(($B$2:$B$965=B351)*($C$2:$C$965=C351)*($D$2:$D$965=D351)*($E$2:$E$965=E351)*($F$2:$F$965=F351)*($G$2:$G$965=G351)*($H$2:$H$965=H351)*($I$2:$I$965=I351)*($J$2:$J$965=J351)*($K$2:$K$965=K351)*($N$2:$N$965=N351))=1,"خیر",IF(SUMPRODUCT(($B$2:B351=B351)*($C$2:C351=C351)*($D$2:D351=D351)*($E$2:E351=E351)*($F$2:F351=F351)*($G$2:G351=G351)*($H$2:H351=H351)*($I$2:I351=I351)*($J$2:J351=J351)*($K$2:K351=K351)*($N$2:N351=N351))=1,"بله-1","بله")))</f>
        <v>خیر</v>
      </c>
      <c r="P351" s="5" t="str" cm="1">
        <f t="array" ref="P351">IF(A351="","",IF(SUMPRODUCT(($F$2:$F$969=F351)*($I$2:$I$969=I351))=1,"خیر",IF(SUMPRODUCT(($F$2:F351=F351)*($I$2:I351=I351))=1,"بله-1","بله")))</f>
        <v>خیر</v>
      </c>
    </row>
    <row r="352" spans="1:16" ht="18.75" x14ac:dyDescent="0.25">
      <c r="A352" s="2" t="s">
        <v>479</v>
      </c>
      <c r="B352" s="2" t="s">
        <v>16</v>
      </c>
      <c r="C352" s="2" t="s">
        <v>17</v>
      </c>
      <c r="D352" s="2" t="s">
        <v>1356</v>
      </c>
      <c r="E352" s="2" t="s">
        <v>137</v>
      </c>
      <c r="F352" s="2" t="s">
        <v>480</v>
      </c>
      <c r="G352" s="2" t="s">
        <v>27</v>
      </c>
      <c r="H352" s="2" t="s">
        <v>481</v>
      </c>
      <c r="I352" s="2" t="s">
        <v>435</v>
      </c>
      <c r="J352" s="2" t="s">
        <v>482</v>
      </c>
      <c r="K352" s="2" t="s">
        <v>483</v>
      </c>
      <c r="L352" s="3">
        <f>IF(OR(TRIM(I352)="",TRIM(K352)=""),"",IFERROR((VALUE(LEFT(TRIM(I352),4))-VALUE(LEFT(TRIM(K352),4)))*12+VALUE(MID(TRIM(I352),6,2))-VALUE(MID(TRIM(K352),6,2)),""))</f>
        <v>5</v>
      </c>
      <c r="M352" s="2" t="str">
        <f>IF(TRIM(H352)="","",IFERROR(LOOKUP(2,1/(ISNUMBER(SEARCH('منطق دسته‌بندی'!$A$2:$A$187,H352))),'منطق دسته‌بندی'!$B$2:$B$187),"سایر (نیازمند بررسی دستی)"))</f>
        <v>شیلنگ - برخورد/لهیدگی (بازبینی)</v>
      </c>
      <c r="N352" s="2" t="s">
        <v>24</v>
      </c>
      <c r="O352" s="2" t="str" cm="1">
        <f t="array" ref="O352">IF(A352="","",IF(SUMPRODUCT(($B$2:$B$965=B352)*($C$2:$C$965=C352)*($D$2:$D$965=D352)*($E$2:$E$965=E352)*($F$2:$F$965=F352)*($G$2:$G$965=G352)*($H$2:$H$965=H352)*($I$2:$I$965=I352)*($J$2:$J$965=J352)*($K$2:$K$965=K352)*($N$2:$N$965=N352))=1,"خیر",IF(SUMPRODUCT(($B$2:B352=B352)*($C$2:C352=C352)*($D$2:D352=D352)*($E$2:E352=E352)*($F$2:F352=F352)*($G$2:G352=G352)*($H$2:H352=H352)*($I$2:I352=I352)*($J$2:J352=J352)*($K$2:K352=K352)*($N$2:N352=N352))=1,"بله-1","بله")))</f>
        <v>خیر</v>
      </c>
      <c r="P352" s="5" t="str" cm="1">
        <f t="array" ref="P352">IF(A352="","",IF(SUMPRODUCT(($F$2:$F$969=F352)*($I$2:$I$969=I352))=1,"خیر",IF(SUMPRODUCT(($F$2:F352=F352)*($I$2:I352=I352))=1,"بله-1","بله")))</f>
        <v>خیر</v>
      </c>
    </row>
    <row r="353" spans="1:16" ht="18.75" x14ac:dyDescent="0.25">
      <c r="A353" s="2" t="s">
        <v>886</v>
      </c>
      <c r="B353" s="2" t="s">
        <v>881</v>
      </c>
      <c r="C353" s="2" t="s">
        <v>882</v>
      </c>
      <c r="D353" s="2" t="s">
        <v>1356</v>
      </c>
      <c r="E353" s="2" t="s">
        <v>137</v>
      </c>
      <c r="F353" s="2" t="s">
        <v>887</v>
      </c>
      <c r="G353" s="2" t="s">
        <v>84</v>
      </c>
      <c r="H353" s="2" t="s">
        <v>308</v>
      </c>
      <c r="I353" s="2" t="s">
        <v>888</v>
      </c>
      <c r="J353" s="2" t="s">
        <v>762</v>
      </c>
      <c r="K353" s="2" t="s">
        <v>640</v>
      </c>
      <c r="L353" s="3">
        <f>IF(OR(TRIM(I353)="",TRIM(K353)=""),"",IFERROR((VALUE(LEFT(TRIM(I353),4))-VALUE(LEFT(TRIM(K353),4)))*12+VALUE(MID(TRIM(I353),6,2))-VALUE(MID(TRIM(K353),6,2)),""))</f>
        <v>1</v>
      </c>
      <c r="M353" s="2" t="str">
        <f>IF(TRIM(H353)="","",IFERROR(LOOKUP(2,1/(ISNUMBER(SEARCH('منطق دسته‌بندی'!$A$2:$A$187,H353))),'منطق دسته‌بندی'!$B$2:$B$187),"سایر (نیازمند بررسی دستی)"))</f>
        <v>نشتی - شیلنگ (تعمیر/آب‌بندی)</v>
      </c>
      <c r="N353" s="2" t="s">
        <v>24</v>
      </c>
      <c r="O353" s="2" t="str" cm="1">
        <f t="array" ref="O353">IF(A353="","",IF(SUMPRODUCT(($B$2:$B$965=B353)*($C$2:$C$965=C353)*($D$2:$D$965=D353)*($E$2:$E$965=E353)*($F$2:$F$965=F353)*($G$2:$G$965=G353)*($H$2:$H$965=H353)*($I$2:$I$965=I353)*($J$2:$J$965=J353)*($K$2:$K$965=K353)*($N$2:$N$965=N353))=1,"خیر",IF(SUMPRODUCT(($B$2:B353=B353)*($C$2:C353=C353)*($D$2:D353=D353)*($E$2:E353=E353)*($F$2:F353=F353)*($G$2:G353=G353)*($H$2:H353=H353)*($I$2:I353=I353)*($J$2:J353=J353)*($K$2:K353=K353)*($N$2:N353=N353))=1,"بله-1","بله")))</f>
        <v>خیر</v>
      </c>
      <c r="P353" s="5" t="str" cm="1">
        <f t="array" ref="P353">IF(A353="","",IF(SUMPRODUCT(($F$2:$F$969=F353)*($I$2:$I$969=I353))=1,"خیر",IF(SUMPRODUCT(($F$2:F353=F353)*($I$2:I353=I353))=1,"بله-1","بله")))</f>
        <v>خیر</v>
      </c>
    </row>
    <row r="354" spans="1:16" ht="18.75" x14ac:dyDescent="0.25">
      <c r="A354" s="2" t="s">
        <v>870</v>
      </c>
      <c r="B354" s="2" t="s">
        <v>632</v>
      </c>
      <c r="C354" s="2" t="s">
        <v>633</v>
      </c>
      <c r="D354" s="2" t="s">
        <v>1356</v>
      </c>
      <c r="E354" s="2" t="s">
        <v>137</v>
      </c>
      <c r="F354" s="2" t="s">
        <v>871</v>
      </c>
      <c r="G354" s="2" t="s">
        <v>872</v>
      </c>
      <c r="H354" s="2" t="s">
        <v>139</v>
      </c>
      <c r="I354" s="2" t="s">
        <v>868</v>
      </c>
      <c r="J354" s="2" t="s">
        <v>873</v>
      </c>
      <c r="K354" s="2" t="s">
        <v>301</v>
      </c>
      <c r="L354" s="3">
        <f>IF(OR(TRIM(I354)="",TRIM(K354)=""),"",IFERROR((VALUE(LEFT(TRIM(I354),4))-VALUE(LEFT(TRIM(K354),4)))*12+VALUE(MID(TRIM(I354),6,2))-VALUE(MID(TRIM(K354),6,2)),""))</f>
        <v>7</v>
      </c>
      <c r="M354" s="2" t="str">
        <f>IF(TRIM(H354)="","",IFERROR(LOOKUP(2,1/(ISNUMBER(SEARCH('منطق دسته‌بندی'!$A$2:$A$187,H354))),'منطق دسته‌بندی'!$B$2:$B$187),"سایر (نیازمند بررسی دستی)"))</f>
        <v>تراز/لرزش - نصب (رگلاژ پایه)</v>
      </c>
      <c r="N354" s="2" t="s">
        <v>158</v>
      </c>
      <c r="O354" s="2" t="str" cm="1">
        <f t="array" ref="O354">IF(A354="","",IF(SUMPRODUCT(($B$2:$B$965=B354)*($C$2:$C$965=C354)*($D$2:$D$965=D354)*($E$2:$E$965=E354)*($F$2:$F$965=F354)*($G$2:$G$965=G354)*($H$2:$H$965=H354)*($I$2:$I$965=I354)*($J$2:$J$965=J354)*($K$2:$K$965=K354)*($N$2:$N$965=N354))=1,"خیر",IF(SUMPRODUCT(($B$2:B354=B354)*($C$2:C354=C354)*($D$2:D354=D354)*($E$2:E354=E354)*($F$2:F354=F354)*($G$2:G354=G354)*($H$2:H354=H354)*($I$2:I354=I354)*($J$2:J354=J354)*($K$2:K354=K354)*($N$2:N354=N354))=1,"بله-1","بله")))</f>
        <v>خیر</v>
      </c>
      <c r="P354" s="5" t="str" cm="1">
        <f t="array" ref="P354">IF(A354="","",IF(SUMPRODUCT(($F$2:$F$969=F354)*($I$2:$I$969=I354))=1,"خیر",IF(SUMPRODUCT(($F$2:F354=F354)*($I$2:I354=I354))=1,"بله-1","بله")))</f>
        <v>خیر</v>
      </c>
    </row>
    <row r="355" spans="1:16" ht="18.75" x14ac:dyDescent="0.25">
      <c r="A355" s="2" t="s">
        <v>513</v>
      </c>
      <c r="B355" s="2" t="s">
        <v>16</v>
      </c>
      <c r="C355" s="2" t="s">
        <v>17</v>
      </c>
      <c r="D355" s="2" t="s">
        <v>1356</v>
      </c>
      <c r="E355" s="2" t="s">
        <v>137</v>
      </c>
      <c r="F355" s="2" t="s">
        <v>514</v>
      </c>
      <c r="G355" s="2" t="s">
        <v>27</v>
      </c>
      <c r="H355" s="11" t="s">
        <v>162</v>
      </c>
      <c r="I355" s="2" t="s">
        <v>507</v>
      </c>
      <c r="J355" s="2" t="s">
        <v>515</v>
      </c>
      <c r="K355" s="2" t="s">
        <v>516</v>
      </c>
      <c r="L355" s="3">
        <f>IF(OR(TRIM(I355)="",TRIM(K355)=""),"",IFERROR((VALUE(LEFT(TRIM(I355),4))-VALUE(LEFT(TRIM(K355),4)))*12+VALUE(MID(TRIM(I355),6,2))-VALUE(MID(TRIM(K355),6,2)),""))</f>
        <v>8</v>
      </c>
      <c r="M355" s="2" t="str">
        <f>IF(TRIM(H355)="","",IFERROR(LOOKUP(2,1/(ISNUMBER(SEARCH('منطق دسته‌بندی'!$A$2:$A$187,H355))),'منطق دسته‌بندی'!$B$2:$B$187),"سایر (نیازمند بررسی دستی)"))</f>
        <v>خرابی - پمپ تخلیه (تعویض)</v>
      </c>
      <c r="N355" s="2" t="s">
        <v>517</v>
      </c>
      <c r="O355" s="2" t="str" cm="1">
        <f t="array" ref="O355">IF(A355="","",IF(SUMPRODUCT(($B$2:$B$965=B355)*($C$2:$C$965=C355)*($D$2:$D$965=D355)*($E$2:$E$965=E355)*($F$2:$F$965=F355)*($G$2:$G$965=G355)*($H$2:$H$965=H355)*($I$2:$I$965=I355)*($J$2:$J$965=J355)*($K$2:$K$965=K355)*($N$2:$N$965=N355))=1,"خیر",IF(SUMPRODUCT(($B$2:B355=B355)*($C$2:C355=C355)*($D$2:D355=D355)*($E$2:E355=E355)*($F$2:F355=F355)*($G$2:G355=G355)*($H$2:H355=H355)*($I$2:I355=I355)*($J$2:J355=J355)*($K$2:K355=K355)*($N$2:N355=N355))=1,"بله-1","بله")))</f>
        <v>خیر</v>
      </c>
      <c r="P355" s="5" t="str" cm="1">
        <f t="array" ref="P355">IF(A355="","",IF(SUMPRODUCT(($F$2:$F$969=F355)*($I$2:$I$969=I355))=1,"خیر",IF(SUMPRODUCT(($F$2:F355=F355)*($I$2:I355=I355))=1,"بله-1","بله")))</f>
        <v>خیر</v>
      </c>
    </row>
    <row r="356" spans="1:16" ht="18.75" x14ac:dyDescent="0.25">
      <c r="A356" s="2" t="s">
        <v>213</v>
      </c>
      <c r="B356" s="2" t="s">
        <v>16</v>
      </c>
      <c r="C356" s="2" t="s">
        <v>17</v>
      </c>
      <c r="D356" s="2" t="s">
        <v>1356</v>
      </c>
      <c r="E356" s="2" t="s">
        <v>137</v>
      </c>
      <c r="F356" s="2" t="s">
        <v>138</v>
      </c>
      <c r="G356" s="2" t="s">
        <v>214</v>
      </c>
      <c r="H356" s="2" t="s">
        <v>139</v>
      </c>
      <c r="I356" s="2" t="s">
        <v>47</v>
      </c>
      <c r="J356" s="2" t="s">
        <v>140</v>
      </c>
      <c r="K356" s="2" t="s">
        <v>141</v>
      </c>
      <c r="L356" s="3">
        <f>IF(OR(TRIM(I356)="",TRIM(K356)=""),"",IFERROR((VALUE(LEFT(TRIM(I356),4))-VALUE(LEFT(TRIM(K356),4)))*12+VALUE(MID(TRIM(I356),6,2))-VALUE(MID(TRIM(K356),6,2)),""))</f>
        <v>5</v>
      </c>
      <c r="M356" s="2" t="str">
        <f>IF(TRIM(H356)="","",IFERROR(LOOKUP(2,1/(ISNUMBER(SEARCH('منطق دسته‌بندی'!$A$2:$A$187,H356))),'منطق دسته‌بندی'!$B$2:$B$187),"سایر (نیازمند بررسی دستی)"))</f>
        <v>تراز/لرزش - نصب (رگلاژ پایه)</v>
      </c>
      <c r="N356" s="2" t="s">
        <v>158</v>
      </c>
      <c r="O356" s="2" t="str" cm="1">
        <f t="array" ref="O356">IF(A356="","",IF(SUMPRODUCT(($B$2:$B$965=B356)*($C$2:$C$965=C356)*($D$2:$D$965=D356)*($E$2:$E$965=E356)*($F$2:$F$965=F356)*($G$2:$G$965=G356)*($H$2:$H$965=H356)*($I$2:$I$965=I356)*($J$2:$J$965=J356)*($K$2:$K$965=K356)*($N$2:$N$965=N356))=1,"خیر",IF(SUMPRODUCT(($B$2:B356=B356)*($C$2:C356=C356)*($D$2:D356=D356)*($E$2:E356=E356)*($F$2:F356=F356)*($G$2:G356=G356)*($H$2:H356=H356)*($I$2:I356=I356)*($J$2:J356=J356)*($K$2:K356=K356)*($N$2:N356=N356))=1,"بله-1","بله")))</f>
        <v>خیر</v>
      </c>
      <c r="P356" s="5" t="str" cm="1">
        <f t="array" ref="P356">IF(A356="","",IF(SUMPRODUCT(($F$2:$F$969=F356)*($I$2:$I$969=I356))=1,"خیر",IF(SUMPRODUCT(($F$2:F356=F356)*($I$2:I356=I356))=1,"بله-1","بله")))</f>
        <v>خیر</v>
      </c>
    </row>
    <row r="357" spans="1:16" ht="18.75" x14ac:dyDescent="0.25">
      <c r="A357" s="2" t="s">
        <v>269</v>
      </c>
      <c r="B357" s="2" t="s">
        <v>16</v>
      </c>
      <c r="C357" s="2" t="s">
        <v>17</v>
      </c>
      <c r="D357" s="2" t="s">
        <v>1356</v>
      </c>
      <c r="E357" s="2" t="s">
        <v>137</v>
      </c>
      <c r="F357" s="2" t="s">
        <v>242</v>
      </c>
      <c r="G357" s="2" t="s">
        <v>270</v>
      </c>
      <c r="H357" s="2" t="s">
        <v>139</v>
      </c>
      <c r="I357" s="2" t="s">
        <v>239</v>
      </c>
      <c r="J357" s="2" t="s">
        <v>243</v>
      </c>
      <c r="K357" s="2" t="s">
        <v>39</v>
      </c>
      <c r="L357" s="3">
        <f>IF(OR(TRIM(I357)="",TRIM(K357)=""),"",IFERROR((VALUE(LEFT(TRIM(I357),4))-VALUE(LEFT(TRIM(K357),4)))*12+VALUE(MID(TRIM(I357),6,2))-VALUE(MID(TRIM(K357),6,2)),""))</f>
        <v>6</v>
      </c>
      <c r="M357" s="2" t="str">
        <f>IF(TRIM(H357)="","",IFERROR(LOOKUP(2,1/(ISNUMBER(SEARCH('منطق دسته‌بندی'!$A$2:$A$187,H357))),'منطق دسته‌بندی'!$B$2:$B$187),"سایر (نیازمند بررسی دستی)"))</f>
        <v>تراز/لرزش - نصب (رگلاژ پایه)</v>
      </c>
      <c r="N357" s="2" t="s">
        <v>158</v>
      </c>
      <c r="O357" s="2" t="str" cm="1">
        <f t="array" ref="O357">IF(A357="","",IF(SUMPRODUCT(($B$2:$B$965=B357)*($C$2:$C$965=C357)*($D$2:$D$965=D357)*($E$2:$E$965=E357)*($F$2:$F$965=F357)*($G$2:$G$965=G357)*($H$2:$H$965=H357)*($I$2:$I$965=I357)*($J$2:$J$965=J357)*($K$2:$K$965=K357)*($N$2:$N$965=N357))=1,"خیر",IF(SUMPRODUCT(($B$2:B357=B357)*($C$2:C357=C357)*($D$2:D357=D357)*($E$2:E357=E357)*($F$2:F357=F357)*($G$2:G357=G357)*($H$2:H357=H357)*($I$2:I357=I357)*($J$2:J357=J357)*($K$2:K357=K357)*($N$2:N357=N357))=1,"بله-1","بله")))</f>
        <v>خیر</v>
      </c>
      <c r="P357" s="5" t="str" cm="1">
        <f t="array" ref="P357">IF(A357="","",IF(SUMPRODUCT(($F$2:$F$969=F357)*($I$2:$I$969=I357))=1,"خیر",IF(SUMPRODUCT(($F$2:F357=F357)*($I$2:I357=I357))=1,"بله-1","بله")))</f>
        <v>خیر</v>
      </c>
    </row>
    <row r="358" spans="1:16" ht="18.75" x14ac:dyDescent="0.25">
      <c r="A358" s="2" t="s">
        <v>954</v>
      </c>
      <c r="B358" s="2" t="s">
        <v>881</v>
      </c>
      <c r="C358" s="2" t="s">
        <v>882</v>
      </c>
      <c r="D358" s="2" t="s">
        <v>1356</v>
      </c>
      <c r="E358" s="2" t="s">
        <v>137</v>
      </c>
      <c r="F358" s="2" t="s">
        <v>955</v>
      </c>
      <c r="G358" s="2" t="s">
        <v>214</v>
      </c>
      <c r="H358" s="2" t="s">
        <v>139</v>
      </c>
      <c r="I358" s="2" t="s">
        <v>956</v>
      </c>
      <c r="J358" s="2" t="s">
        <v>957</v>
      </c>
      <c r="K358" s="2" t="s">
        <v>884</v>
      </c>
      <c r="L358" s="3">
        <f>IF(OR(TRIM(I358)="",TRIM(K358)=""),"",IFERROR((VALUE(LEFT(TRIM(I358),4))-VALUE(LEFT(TRIM(K358),4)))*12+VALUE(MID(TRIM(I358),6,2))-VALUE(MID(TRIM(K358),6,2)),""))</f>
        <v>0</v>
      </c>
      <c r="M358" s="2" t="str">
        <f>IF(TRIM(H358)="","",IFERROR(LOOKUP(2,1/(ISNUMBER(SEARCH('منطق دسته‌بندی'!$A$2:$A$187,H358))),'منطق دسته‌بندی'!$B$2:$B$187),"سایر (نیازمند بررسی دستی)"))</f>
        <v>تراز/لرزش - نصب (رگلاژ پایه)</v>
      </c>
      <c r="N358" s="2" t="s">
        <v>24</v>
      </c>
      <c r="O358" s="2" t="str" cm="1">
        <f t="array" ref="O358">IF(A358="","",IF(SUMPRODUCT(($B$2:$B$965=B358)*($C$2:$C$965=C358)*($D$2:$D$965=D358)*($E$2:$E$965=E358)*($F$2:$F$965=F358)*($G$2:$G$965=G358)*($H$2:$H$965=H358)*($I$2:$I$965=I358)*($J$2:$J$965=J358)*($K$2:$K$965=K358)*($N$2:$N$965=N358))=1,"خیر",IF(SUMPRODUCT(($B$2:B358=B358)*($C$2:C358=C358)*($D$2:D358=D358)*($E$2:E358=E358)*($F$2:F358=F358)*($G$2:G358=G358)*($H$2:H358=H358)*($I$2:I358=I358)*($J$2:J358=J358)*($K$2:K358=K358)*($N$2:N358=N358))=1,"بله-1","بله")))</f>
        <v>خیر</v>
      </c>
      <c r="P358" s="5" t="str" cm="1">
        <f t="array" ref="P358">IF(A358="","",IF(SUMPRODUCT(($F$2:$F$969=F358)*($I$2:$I$969=I358))=1,"خیر",IF(SUMPRODUCT(($F$2:F358=F358)*($I$2:I358=I358))=1,"بله-1","بله")))</f>
        <v>خیر</v>
      </c>
    </row>
    <row r="359" spans="1:16" ht="18.75" x14ac:dyDescent="0.25">
      <c r="A359" s="2" t="s">
        <v>1181</v>
      </c>
      <c r="B359" s="2" t="s">
        <v>1040</v>
      </c>
      <c r="C359" s="2" t="s">
        <v>1041</v>
      </c>
      <c r="D359" s="2" t="s">
        <v>1356</v>
      </c>
      <c r="E359" s="2" t="s">
        <v>1107</v>
      </c>
      <c r="F359" s="2" t="s">
        <v>955</v>
      </c>
      <c r="G359" s="2" t="s">
        <v>214</v>
      </c>
      <c r="H359" s="2" t="s">
        <v>139</v>
      </c>
      <c r="I359" s="2" t="s">
        <v>1176</v>
      </c>
      <c r="J359" s="2" t="s">
        <v>957</v>
      </c>
      <c r="K359" s="2" t="s">
        <v>884</v>
      </c>
      <c r="L359" s="3">
        <f>IF(OR(TRIM(I359)="",TRIM(K359)=""),"",IFERROR((VALUE(LEFT(TRIM(I359),4))-VALUE(LEFT(TRIM(K359),4)))*12+VALUE(MID(TRIM(I359),6,2))-VALUE(MID(TRIM(K359),6,2)),""))</f>
        <v>2</v>
      </c>
      <c r="M359" s="2" t="str">
        <f>IF(TRIM(H359)="","",IFERROR(LOOKUP(2,1/(ISNUMBER(SEARCH('منطق دسته‌بندی'!$A$2:$A$187,H359))),'منطق دسته‌بندی'!$B$2:$B$187),"سایر (نیازمند بررسی دستی)"))</f>
        <v>تراز/لرزش - نصب (رگلاژ پایه)</v>
      </c>
      <c r="N359" s="2" t="s">
        <v>24</v>
      </c>
      <c r="O359" s="2" t="str" cm="1">
        <f t="array" ref="O359">IF(A359="","",IF(SUMPRODUCT(($B$2:$B$965=B359)*($C$2:$C$965=C359)*($D$2:$D$965=D359)*($E$2:$E$965=E359)*($F$2:$F$965=F359)*($G$2:$G$965=G359)*($H$2:$H$965=H359)*($I$2:$I$965=I359)*($J$2:$J$965=J359)*($K$2:$K$965=K359)*($N$2:$N$965=N359))=1,"خیر",IF(SUMPRODUCT(($B$2:B359=B359)*($C$2:C359=C359)*($D$2:D359=D359)*($E$2:E359=E359)*($F$2:F359=F359)*($G$2:G359=G359)*($H$2:H359=H359)*($I$2:I359=I359)*($J$2:J359=J359)*($K$2:K359=K359)*($N$2:N359=N359))=1,"بله-1","بله")))</f>
        <v>خیر</v>
      </c>
      <c r="P359" s="5" t="str" cm="1">
        <f t="array" ref="P359">IF(A359="","",IF(SUMPRODUCT(($F$2:$F$969=F359)*($I$2:$I$969=I359))=1,"خیر",IF(SUMPRODUCT(($F$2:F359=F359)*($I$2:I359=I359))=1,"بله-1","بله")))</f>
        <v>خیر</v>
      </c>
    </row>
    <row r="360" spans="1:16" ht="18.75" x14ac:dyDescent="0.25">
      <c r="A360" s="2" t="s">
        <v>431</v>
      </c>
      <c r="B360" s="2" t="s">
        <v>16</v>
      </c>
      <c r="C360" s="2" t="s">
        <v>17</v>
      </c>
      <c r="D360" s="2" t="s">
        <v>1356</v>
      </c>
      <c r="E360" s="2" t="s">
        <v>137</v>
      </c>
      <c r="F360" s="2" t="s">
        <v>432</v>
      </c>
      <c r="G360" s="2" t="s">
        <v>27</v>
      </c>
      <c r="H360" s="2" t="s">
        <v>139</v>
      </c>
      <c r="I360" s="2" t="s">
        <v>415</v>
      </c>
      <c r="J360" s="2" t="s">
        <v>247</v>
      </c>
      <c r="K360" s="2" t="s">
        <v>198</v>
      </c>
      <c r="L360" s="3">
        <f>IF(OR(TRIM(I360)="",TRIM(K360)=""),"",IFERROR((VALUE(LEFT(TRIM(I360),4))-VALUE(LEFT(TRIM(K360),4)))*12+VALUE(MID(TRIM(I360),6,2))-VALUE(MID(TRIM(K360),6,2)),""))</f>
        <v>1</v>
      </c>
      <c r="M360" s="2" t="str">
        <f>IF(TRIM(H360)="","",IFERROR(LOOKUP(2,1/(ISNUMBER(SEARCH('منطق دسته‌بندی'!$A$2:$A$187,H360))),'منطق دسته‌بندی'!$B$2:$B$187),"سایر (نیازمند بررسی دستی)"))</f>
        <v>تراز/لرزش - نصب (رگلاژ پایه)</v>
      </c>
      <c r="N360" s="2" t="s">
        <v>158</v>
      </c>
      <c r="O360" s="2" t="str" cm="1">
        <f t="array" ref="O360">IF(A360="","",IF(SUMPRODUCT(($B$2:$B$965=B360)*($C$2:$C$965=C360)*($D$2:$D$965=D360)*($E$2:$E$965=E360)*($F$2:$F$965=F360)*($G$2:$G$965=G360)*($H$2:$H$965=H360)*($I$2:$I$965=I360)*($J$2:$J$965=J360)*($K$2:$K$965=K360)*($N$2:$N$965=N360))=1,"خیر",IF(SUMPRODUCT(($B$2:B360=B360)*($C$2:C360=C360)*($D$2:D360=D360)*($E$2:E360=E360)*($F$2:F360=F360)*($G$2:G360=G360)*($H$2:H360=H360)*($I$2:I360=I360)*($J$2:J360=J360)*($K$2:K360=K360)*($N$2:N360=N360))=1,"بله-1","بله")))</f>
        <v>خیر</v>
      </c>
      <c r="P360" s="5" t="str" cm="1">
        <f t="array" ref="P360">IF(A360="","",IF(SUMPRODUCT(($F$2:$F$969=F360)*($I$2:$I$969=I360))=1,"خیر",IF(SUMPRODUCT(($F$2:F360=F360)*($I$2:I360=I360))=1,"بله-1","بله")))</f>
        <v>خیر</v>
      </c>
    </row>
    <row r="361" spans="1:16" ht="18.75" x14ac:dyDescent="0.25">
      <c r="A361" s="2">
        <v>510025167</v>
      </c>
      <c r="B361" s="2" t="s">
        <v>1950</v>
      </c>
      <c r="C361" s="2" t="s">
        <v>1951</v>
      </c>
      <c r="D361" s="2" t="s">
        <v>1356</v>
      </c>
      <c r="E361" s="2" t="s">
        <v>1107</v>
      </c>
      <c r="F361" s="2" t="s">
        <v>1618</v>
      </c>
      <c r="G361" s="2" t="s">
        <v>1580</v>
      </c>
      <c r="H361" s="18" t="s">
        <v>1526</v>
      </c>
      <c r="I361" s="2" t="s">
        <v>1619</v>
      </c>
      <c r="J361" s="2" t="s">
        <v>282</v>
      </c>
      <c r="K361" s="2" t="s">
        <v>1620</v>
      </c>
      <c r="L361" s="3">
        <f>IF(OR(TRIM(I361)="",TRIM(K361)=""),"",IFERROR((VALUE(LEFT(TRIM(I361),4))-VALUE(LEFT(TRIM(K361),4)))*12+VALUE(MID(TRIM(I361),6,2))-VALUE(MID(TRIM(K361),6,2)),""))</f>
        <v>2</v>
      </c>
      <c r="M361" s="2" t="str">
        <f>IF(TRIM(H361)="","",IFERROR(LOOKUP(2,1/(ISNUMBER(SEARCH('منطق دسته‌بندی'!$A$2:$A$187,H361))),'منطق دسته‌بندی'!$B$2:$B$187),"سایر (نیازمند بررسی دستی)"))</f>
        <v>تراز/لرزش - نصب (رگلاژ پایه)</v>
      </c>
      <c r="N361" s="2" t="s">
        <v>1381</v>
      </c>
      <c r="O361" s="2" t="str" cm="1">
        <f t="array" ref="O361">IF(A361="","",IF(SUMPRODUCT(($B$2:$B$965=B361)*($C$2:$C$965=C361)*($D$2:$D$965=D361)*($E$2:$E$965=E361)*($F$2:$F$965=F361)*($G$2:$G$965=G361)*($H$2:$H$965=H361)*($I$2:$I$965=I361)*($J$2:$J$965=J361)*($K$2:$K$965=K361)*($N$2:$N$965=N361))=1,"خیر",IF(SUMPRODUCT(($B$2:B361=B361)*($C$2:C361=C361)*($D$2:D361=D361)*($E$2:E361=E361)*($F$2:F361=F361)*($G$2:G361=G361)*($H$2:H361=H361)*($I$2:I361=I361)*($J$2:J361=J361)*($K$2:K361=K361)*($N$2:N361=N361))=1,"بله-1","بله")))</f>
        <v>خیر</v>
      </c>
      <c r="P361" s="5" t="str" cm="1">
        <f t="array" ref="P361">IF(A361="","",IF(SUMPRODUCT(($F$2:$F$969=F361)*($I$2:$I$969=I361))=1,"خیر",IF(SUMPRODUCT(($F$2:F361=F361)*($I$2:I361=I361))=1,"بله-1","بله")))</f>
        <v>خیر</v>
      </c>
    </row>
    <row r="362" spans="1:16" ht="18.75" x14ac:dyDescent="0.25">
      <c r="A362" s="2" t="s">
        <v>280</v>
      </c>
      <c r="B362" s="2" t="s">
        <v>16</v>
      </c>
      <c r="C362" s="2" t="s">
        <v>17</v>
      </c>
      <c r="D362" s="2" t="s">
        <v>1356</v>
      </c>
      <c r="E362" s="2" t="s">
        <v>137</v>
      </c>
      <c r="F362" s="2" t="s">
        <v>281</v>
      </c>
      <c r="G362" s="2" t="s">
        <v>84</v>
      </c>
      <c r="H362" s="2" t="s">
        <v>85</v>
      </c>
      <c r="I362" s="2" t="s">
        <v>276</v>
      </c>
      <c r="J362" s="2" t="s">
        <v>282</v>
      </c>
      <c r="K362" s="2" t="s">
        <v>283</v>
      </c>
      <c r="L362" s="3">
        <f>IF(OR(TRIM(I362)="",TRIM(K362)=""),"",IFERROR((VALUE(LEFT(TRIM(I362),4))-VALUE(LEFT(TRIM(K362),4)))*12+VALUE(MID(TRIM(I362),6,2))-VALUE(MID(TRIM(K362),6,2)),""))</f>
        <v>4</v>
      </c>
      <c r="M362" s="2" t="str">
        <f>IF(TRIM(H362)="","",IFERROR(LOOKUP(2,1/(ISNUMBER(SEARCH('منطق دسته‌بندی'!$A$2:$A$187,H362))),'منطق دسته‌بندی'!$B$2:$B$187),"سایر (نیازمند بررسی دستی)"))</f>
        <v>لاستیک درزگیر - دفرمگی/پارگی (تعویض)</v>
      </c>
      <c r="N362" s="2" t="s">
        <v>24</v>
      </c>
      <c r="O362" s="2" t="str" cm="1">
        <f t="array" ref="O362">IF(A362="","",IF(SUMPRODUCT(($B$2:$B$965=B362)*($C$2:$C$965=C362)*($D$2:$D$965=D362)*($E$2:$E$965=E362)*($F$2:$F$965=F362)*($G$2:$G$965=G362)*($H$2:$H$965=H362)*($I$2:$I$965=I362)*($J$2:$J$965=J362)*($K$2:$K$965=K362)*($N$2:$N$965=N362))=1,"خیر",IF(SUMPRODUCT(($B$2:B362=B362)*($C$2:C362=C362)*($D$2:D362=D362)*($E$2:E362=E362)*($F$2:F362=F362)*($G$2:G362=G362)*($H$2:H362=H362)*($I$2:I362=I362)*($J$2:J362=J362)*($K$2:K362=K362)*($N$2:N362=N362))=1,"بله-1","بله")))</f>
        <v>خیر</v>
      </c>
      <c r="P362" s="5" t="str" cm="1">
        <f t="array" ref="P362">IF(A362="","",IF(SUMPRODUCT(($F$2:$F$969=F362)*($I$2:$I$969=I362))=1,"خیر",IF(SUMPRODUCT(($F$2:F362=F362)*($I$2:I362=I362))=1,"بله-1","بله")))</f>
        <v>خیر</v>
      </c>
    </row>
    <row r="363" spans="1:16" ht="18.75" x14ac:dyDescent="0.25">
      <c r="A363" s="2" t="s">
        <v>1182</v>
      </c>
      <c r="B363" s="2" t="s">
        <v>1040</v>
      </c>
      <c r="C363" s="2" t="s">
        <v>1041</v>
      </c>
      <c r="D363" s="2" t="s">
        <v>1356</v>
      </c>
      <c r="E363" s="2" t="s">
        <v>1107</v>
      </c>
      <c r="F363" s="2" t="s">
        <v>1183</v>
      </c>
      <c r="G363" s="2" t="s">
        <v>604</v>
      </c>
      <c r="H363" s="2" t="s">
        <v>1184</v>
      </c>
      <c r="I363" s="2" t="s">
        <v>1185</v>
      </c>
      <c r="J363" s="2" t="s">
        <v>1186</v>
      </c>
      <c r="K363" s="2" t="s">
        <v>1187</v>
      </c>
      <c r="L363" s="3">
        <f>IF(OR(TRIM(I363)="",TRIM(K363)=""),"",IFERROR((VALUE(LEFT(TRIM(I363),4))-VALUE(LEFT(TRIM(K363),4)))*12+VALUE(MID(TRIM(I363),6,2))-VALUE(MID(TRIM(K363),6,2)),""))</f>
        <v>11</v>
      </c>
      <c r="M363" s="2" t="str">
        <f>IF(TRIM(H363)="","",IFERROR(LOOKUP(2,1/(ISNUMBER(SEARCH('منطق دسته‌بندی'!$A$2:$A$187,H363))),'منطق دسته‌بندی'!$B$2:$B$187),"سایر (نیازمند بررسی دستی)"))</f>
        <v>لاستیک درزگیر - دفرمگی/پارگی (تعویض)</v>
      </c>
      <c r="N363" s="2" t="s">
        <v>1188</v>
      </c>
      <c r="O363" s="2" t="str" cm="1">
        <f t="array" ref="O363">IF(A363="","",IF(SUMPRODUCT(($B$2:$B$965=B363)*($C$2:$C$965=C363)*($D$2:$D$965=D363)*($E$2:$E$965=E363)*($F$2:$F$965=F363)*($G$2:$G$965=G363)*($H$2:$H$965=H363)*($I$2:$I$965=I363)*($J$2:$J$965=J363)*($K$2:$K$965=K363)*($N$2:$N$965=N363))=1,"خیر",IF(SUMPRODUCT(($B$2:B363=B363)*($C$2:C363=C363)*($D$2:D363=D363)*($E$2:E363=E363)*($F$2:F363=F363)*($G$2:G363=G363)*($H$2:H363=H363)*($I$2:I363=I363)*($J$2:J363=J363)*($K$2:K363=K363)*($N$2:N363=N363))=1,"بله-1","بله")))</f>
        <v>خیر</v>
      </c>
      <c r="P363" s="5" t="str" cm="1">
        <f t="array" ref="P363">IF(A363="","",IF(SUMPRODUCT(($F$2:$F$969=F363)*($I$2:$I$969=I363))=1,"خیر",IF(SUMPRODUCT(($F$2:F363=F363)*($I$2:I363=I363))=1,"بله-1","بله")))</f>
        <v>خیر</v>
      </c>
    </row>
    <row r="364" spans="1:16" ht="18.75" x14ac:dyDescent="0.25">
      <c r="A364" s="2" t="s">
        <v>732</v>
      </c>
      <c r="B364" s="2" t="s">
        <v>632</v>
      </c>
      <c r="C364" s="2" t="s">
        <v>633</v>
      </c>
      <c r="D364" s="2" t="s">
        <v>1356</v>
      </c>
      <c r="E364" s="2" t="s">
        <v>137</v>
      </c>
      <c r="F364" s="2" t="s">
        <v>733</v>
      </c>
      <c r="G364" s="2" t="s">
        <v>214</v>
      </c>
      <c r="H364" s="2" t="s">
        <v>139</v>
      </c>
      <c r="I364" s="2" t="s">
        <v>572</v>
      </c>
      <c r="J364" s="2" t="s">
        <v>382</v>
      </c>
      <c r="K364" s="2" t="s">
        <v>132</v>
      </c>
      <c r="L364" s="3">
        <f>IF(OR(TRIM(I364)="",TRIM(K364)=""),"",IFERROR((VALUE(LEFT(TRIM(I364),4))-VALUE(LEFT(TRIM(K364),4)))*12+VALUE(MID(TRIM(I364),6,2))-VALUE(MID(TRIM(K364),6,2)),""))</f>
        <v>8</v>
      </c>
      <c r="M364" s="2" t="str">
        <f>IF(TRIM(H364)="","",IFERROR(LOOKUP(2,1/(ISNUMBER(SEARCH('منطق دسته‌بندی'!$A$2:$A$187,H364))),'منطق دسته‌بندی'!$B$2:$B$187),"سایر (نیازمند بررسی دستی)"))</f>
        <v>تراز/لرزش - نصب (رگلاژ پایه)</v>
      </c>
      <c r="N364" s="2" t="s">
        <v>158</v>
      </c>
      <c r="O364" s="2" t="str" cm="1">
        <f t="array" ref="O364">IF(A364="","",IF(SUMPRODUCT(($B$2:$B$965=B364)*($C$2:$C$965=C364)*($D$2:$D$965=D364)*($E$2:$E$965=E364)*($F$2:$F$965=F364)*($G$2:$G$965=G364)*($H$2:$H$965=H364)*($I$2:$I$965=I364)*($J$2:$J$965=J364)*($K$2:$K$965=K364)*($N$2:$N$965=N364))=1,"خیر",IF(SUMPRODUCT(($B$2:B364=B364)*($C$2:C364=C364)*($D$2:D364=D364)*($E$2:E364=E364)*($F$2:F364=F364)*($G$2:G364=G364)*($H$2:H364=H364)*($I$2:I364=I364)*($J$2:J364=J364)*($K$2:K364=K364)*($N$2:N364=N364))=1,"بله-1","بله")))</f>
        <v>خیر</v>
      </c>
      <c r="P364" s="5" t="str" cm="1">
        <f t="array" ref="P364">IF(A364="","",IF(SUMPRODUCT(($F$2:$F$969=F364)*($I$2:$I$969=I364))=1,"خیر",IF(SUMPRODUCT(($F$2:F364=F364)*($I$2:I364=I364))=1,"بله-1","بله")))</f>
        <v>خیر</v>
      </c>
    </row>
    <row r="365" spans="1:16" ht="18.75" x14ac:dyDescent="0.25">
      <c r="A365" s="2" t="s">
        <v>758</v>
      </c>
      <c r="B365" s="2" t="s">
        <v>632</v>
      </c>
      <c r="C365" s="2" t="s">
        <v>633</v>
      </c>
      <c r="D365" s="2" t="s">
        <v>1356</v>
      </c>
      <c r="E365" s="2" t="s">
        <v>137</v>
      </c>
      <c r="F365" s="2" t="s">
        <v>759</v>
      </c>
      <c r="G365" s="2" t="s">
        <v>760</v>
      </c>
      <c r="H365" s="2" t="s">
        <v>85</v>
      </c>
      <c r="I365" s="2" t="s">
        <v>761</v>
      </c>
      <c r="J365" s="2" t="s">
        <v>762</v>
      </c>
      <c r="K365" s="2" t="s">
        <v>763</v>
      </c>
      <c r="L365" s="3">
        <f>IF(OR(TRIM(I365)="",TRIM(K365)=""),"",IFERROR((VALUE(LEFT(TRIM(I365),4))-VALUE(LEFT(TRIM(K365),4)))*12+VALUE(MID(TRIM(I365),6,2))-VALUE(MID(TRIM(K365),6,2)),""))</f>
        <v>8</v>
      </c>
      <c r="M365" s="2" t="str">
        <f>IF(TRIM(H365)="","",IFERROR(LOOKUP(2,1/(ISNUMBER(SEARCH('منطق دسته‌بندی'!$A$2:$A$187,H365))),'منطق دسته‌بندی'!$B$2:$B$187),"سایر (نیازمند بررسی دستی)"))</f>
        <v>لاستیک درزگیر - دفرمگی/پارگی (تعویض)</v>
      </c>
      <c r="N365" s="2" t="s">
        <v>24</v>
      </c>
      <c r="O365" s="2" t="str" cm="1">
        <f t="array" ref="O365">IF(A365="","",IF(SUMPRODUCT(($B$2:$B$965=B365)*($C$2:$C$965=C365)*($D$2:$D$965=D365)*($E$2:$E$965=E365)*($F$2:$F$965=F365)*($G$2:$G$965=G365)*($H$2:$H$965=H365)*($I$2:$I$965=I365)*($J$2:$J$965=J365)*($K$2:$K$965=K365)*($N$2:$N$965=N365))=1,"خیر",IF(SUMPRODUCT(($B$2:B365=B365)*($C$2:C365=C365)*($D$2:D365=D365)*($E$2:E365=E365)*($F$2:F365=F365)*($G$2:G365=G365)*($H$2:H365=H365)*($I$2:I365=I365)*($J$2:J365=J365)*($K$2:K365=K365)*($N$2:N365=N365))=1,"بله-1","بله")))</f>
        <v>خیر</v>
      </c>
      <c r="P365" s="5" t="str" cm="1">
        <f t="array" ref="P365">IF(A365="","",IF(SUMPRODUCT(($F$2:$F$969=F365)*($I$2:$I$969=I365))=1,"خیر",IF(SUMPRODUCT(($F$2:F365=F365)*($I$2:I365=I365))=1,"بله-1","بله")))</f>
        <v>خیر</v>
      </c>
    </row>
    <row r="366" spans="1:16" ht="18.75" x14ac:dyDescent="0.25">
      <c r="A366" s="2">
        <v>210021125</v>
      </c>
      <c r="B366" s="2" t="s">
        <v>1040</v>
      </c>
      <c r="C366" s="2" t="s">
        <v>1041</v>
      </c>
      <c r="D366" s="2" t="s">
        <v>1356</v>
      </c>
      <c r="E366" s="2" t="s">
        <v>1107</v>
      </c>
      <c r="F366" s="2" t="s">
        <v>759</v>
      </c>
      <c r="G366" s="2" t="s">
        <v>1457</v>
      </c>
      <c r="H366" s="2" t="s">
        <v>1365</v>
      </c>
      <c r="I366" s="2" t="s">
        <v>1434</v>
      </c>
      <c r="J366" s="2" t="s">
        <v>762</v>
      </c>
      <c r="K366" s="2" t="s">
        <v>763</v>
      </c>
      <c r="L366" s="3">
        <f>IF(OR(TRIM(I366)="",TRIM(K366)=""),"",IFERROR((VALUE(LEFT(TRIM(I366),4))-VALUE(LEFT(TRIM(K366),4)))*12+VALUE(MID(TRIM(I366),6,2))-VALUE(MID(TRIM(K366),6,2)),""))</f>
        <v>11</v>
      </c>
      <c r="M366" s="2" t="str">
        <f>IF(TRIM(H366)="","",IFERROR(LOOKUP(2,1/(ISNUMBER(SEARCH('منطق دسته‌بندی'!$A$2:$A$187,H366))),'منطق دسته‌بندی'!$B$2:$B$187),"سایر (نیازمند بررسی دستی)"))</f>
        <v>خرابی - شیربرقی (تعویض)</v>
      </c>
      <c r="N366" s="2" t="s">
        <v>1598</v>
      </c>
      <c r="O366" s="2" t="str" cm="1">
        <f t="array" ref="O366">IF(A366="","",IF(SUMPRODUCT(($B$2:$B$965=B366)*($C$2:$C$965=C366)*($D$2:$D$965=D366)*($E$2:$E$965=E366)*($F$2:$F$965=F366)*($G$2:$G$965=G366)*($H$2:$H$965=H366)*($I$2:$I$965=I366)*($J$2:$J$965=J366)*($K$2:$K$965=K366)*($N$2:$N$965=N366))=1,"خیر",IF(SUMPRODUCT(($B$2:B366=B366)*($C$2:C366=C366)*($D$2:D366=D366)*($E$2:E366=E366)*($F$2:F366=F366)*($G$2:G366=G366)*($H$2:H366=H366)*($I$2:I366=I366)*($J$2:J366=J366)*($K$2:K366=K366)*($N$2:N366=N366))=1,"بله-1","بله")))</f>
        <v>خیر</v>
      </c>
      <c r="P366" s="5" t="str" cm="1">
        <f t="array" ref="P366">IF(A366="","",IF(SUMPRODUCT(($F$2:$F$969=F366)*($I$2:$I$969=I366))=1,"خیر",IF(SUMPRODUCT(($F$2:F366=F366)*($I$2:I366=I366))=1,"بله-1","بله")))</f>
        <v>خیر</v>
      </c>
    </row>
    <row r="367" spans="1:16" ht="18.75" x14ac:dyDescent="0.25">
      <c r="A367" s="2" t="s">
        <v>602</v>
      </c>
      <c r="B367" s="2" t="s">
        <v>16</v>
      </c>
      <c r="C367" s="2" t="s">
        <v>17</v>
      </c>
      <c r="D367" s="2" t="s">
        <v>1356</v>
      </c>
      <c r="E367" s="2" t="s">
        <v>137</v>
      </c>
      <c r="F367" s="2" t="s">
        <v>603</v>
      </c>
      <c r="G367" s="2" t="s">
        <v>604</v>
      </c>
      <c r="H367" s="2" t="s">
        <v>352</v>
      </c>
      <c r="I367" s="2" t="s">
        <v>580</v>
      </c>
      <c r="J367" s="2" t="s">
        <v>515</v>
      </c>
      <c r="K367" s="2" t="s">
        <v>605</v>
      </c>
      <c r="L367" s="3">
        <f>IF(OR(TRIM(I367)="",TRIM(K367)=""),"",IFERROR((VALUE(LEFT(TRIM(I367),4))-VALUE(LEFT(TRIM(K367),4)))*12+VALUE(MID(TRIM(I367),6,2))-VALUE(MID(TRIM(K367),6,2)),""))</f>
        <v>9</v>
      </c>
      <c r="M367" s="2" t="str">
        <f>IF(TRIM(H367)="","",IFERROR(LOOKUP(2,1/(ISNUMBER(SEARCH('منطق دسته‌بندی'!$A$2:$A$187,H367))),'منطق دسته‌بندی'!$B$2:$B$187),"سایر (نیازمند بررسی دستی)"))</f>
        <v>لاستیک درزگیر - دفرمگی/پارگی (تعویض)</v>
      </c>
      <c r="N367" s="2" t="s">
        <v>354</v>
      </c>
      <c r="O367" s="2" t="str" cm="1">
        <f t="array" ref="O367">IF(A367="","",IF(SUMPRODUCT(($B$2:$B$965=B367)*($C$2:$C$965=C367)*($D$2:$D$965=D367)*($E$2:$E$965=E367)*($F$2:$F$965=F367)*($G$2:$G$965=G367)*($H$2:$H$965=H367)*($I$2:$I$965=I367)*($J$2:$J$965=J367)*($K$2:$K$965=K367)*($N$2:$N$965=N367))=1,"خیر",IF(SUMPRODUCT(($B$2:B367=B367)*($C$2:C367=C367)*($D$2:D367=D367)*($E$2:E367=E367)*($F$2:F367=F367)*($G$2:G367=G367)*($H$2:H367=H367)*($I$2:I367=I367)*($J$2:J367=J367)*($K$2:K367=K367)*($N$2:N367=N367))=1,"بله-1","بله")))</f>
        <v>خیر</v>
      </c>
      <c r="P367" s="5" t="str" cm="1">
        <f t="array" ref="P367">IF(A367="","",IF(SUMPRODUCT(($F$2:$F$969=F367)*($I$2:$I$969=I367))=1,"خیر",IF(SUMPRODUCT(($F$2:F367=F367)*($I$2:I367=I367))=1,"بله-1","بله")))</f>
        <v>خیر</v>
      </c>
    </row>
    <row r="368" spans="1:16" ht="18.75" x14ac:dyDescent="0.25">
      <c r="A368" s="2">
        <v>210021875</v>
      </c>
      <c r="B368" s="2" t="s">
        <v>1950</v>
      </c>
      <c r="C368" s="2" t="s">
        <v>1951</v>
      </c>
      <c r="D368" s="2" t="s">
        <v>1356</v>
      </c>
      <c r="E368" s="2" t="s">
        <v>1107</v>
      </c>
      <c r="F368" s="2" t="s">
        <v>1579</v>
      </c>
      <c r="G368" s="2" t="s">
        <v>1580</v>
      </c>
      <c r="H368" s="2" t="s">
        <v>1581</v>
      </c>
      <c r="I368" s="2" t="s">
        <v>1470</v>
      </c>
      <c r="J368" s="2" t="s">
        <v>515</v>
      </c>
      <c r="K368" s="2" t="s">
        <v>795</v>
      </c>
      <c r="L368" s="3">
        <f>IF(OR(TRIM(I368)="",TRIM(K368)=""),"",IFERROR((VALUE(LEFT(TRIM(I368),4))-VALUE(LEFT(TRIM(K368),4)))*12+VALUE(MID(TRIM(I368),6,2))-VALUE(MID(TRIM(K368),6,2)),""))</f>
        <v>10</v>
      </c>
      <c r="M368" s="2" t="str">
        <f>IF(TRIM(H368)="","",IFERROR(LOOKUP(2,1/(ISNUMBER(SEARCH('منطق دسته‌بندی'!$A$2:$A$187,H368))),'منطق دسته‌بندی'!$B$2:$B$187),"سایر (نیازمند بررسی دستی)"))</f>
        <v>خرابی - پمپ تخلیه (تعویض)</v>
      </c>
      <c r="N368" s="2" t="s">
        <v>517</v>
      </c>
      <c r="O368" s="2" t="str" cm="1">
        <f t="array" ref="O368">IF(A368="","",IF(SUMPRODUCT(($B$2:$B$965=B368)*($C$2:$C$965=C368)*($D$2:$D$965=D368)*($E$2:$E$965=E368)*($F$2:$F$965=F368)*($G$2:$G$965=G368)*($H$2:$H$965=H368)*($I$2:$I$965=I368)*($J$2:$J$965=J368)*($K$2:$K$965=K368)*($N$2:$N$965=N368))=1,"خیر",IF(SUMPRODUCT(($B$2:B368=B368)*($C$2:C368=C368)*($D$2:D368=D368)*($E$2:E368=E368)*($F$2:F368=F368)*($G$2:G368=G368)*($H$2:H368=H368)*($I$2:I368=I368)*($J$2:J368=J368)*($K$2:K368=K368)*($N$2:N368=N368))=1,"بله-1","بله")))</f>
        <v>خیر</v>
      </c>
      <c r="P368" s="5" t="str" cm="1">
        <f t="array" ref="P368">IF(A368="","",IF(SUMPRODUCT(($F$2:$F$969=F368)*($I$2:$I$969=I368))=1,"خیر",IF(SUMPRODUCT(($F$2:F368=F368)*($I$2:I368=I368))=1,"بله-1","بله")))</f>
        <v>خیر</v>
      </c>
    </row>
    <row r="369" spans="1:16" ht="18.75" x14ac:dyDescent="0.25">
      <c r="A369" s="2" t="s">
        <v>1106</v>
      </c>
      <c r="B369" s="2" t="s">
        <v>1040</v>
      </c>
      <c r="C369" s="2" t="s">
        <v>1041</v>
      </c>
      <c r="D369" s="2" t="s">
        <v>1356</v>
      </c>
      <c r="E369" s="2" t="s">
        <v>1107</v>
      </c>
      <c r="F369" s="2" t="s">
        <v>1108</v>
      </c>
      <c r="G369" s="2" t="s">
        <v>388</v>
      </c>
      <c r="H369" s="2" t="s">
        <v>139</v>
      </c>
      <c r="I369" s="2" t="s">
        <v>1092</v>
      </c>
      <c r="J369" s="2" t="s">
        <v>645</v>
      </c>
      <c r="K369" s="2" t="s">
        <v>1109</v>
      </c>
      <c r="L369" s="3">
        <f>IF(OR(TRIM(I369)="",TRIM(K369)=""),"",IFERROR((VALUE(LEFT(TRIM(I369),4))-VALUE(LEFT(TRIM(K369),4)))*12+VALUE(MID(TRIM(I369),6,2))-VALUE(MID(TRIM(K369),6,2)),""))</f>
        <v>14</v>
      </c>
      <c r="M369" s="2" t="str">
        <f>IF(TRIM(H369)="","",IFERROR(LOOKUP(2,1/(ISNUMBER(SEARCH('منطق دسته‌بندی'!$A$2:$A$187,H369))),'منطق دسته‌بندی'!$B$2:$B$187),"سایر (نیازمند بررسی دستی)"))</f>
        <v>تراز/لرزش - نصب (رگلاژ پایه)</v>
      </c>
      <c r="N369" s="2" t="s">
        <v>24</v>
      </c>
      <c r="O369" s="2" t="str" cm="1">
        <f t="array" ref="O369">IF(A369="","",IF(SUMPRODUCT(($B$2:$B$965=B369)*($C$2:$C$965=C369)*($D$2:$D$965=D369)*($E$2:$E$965=E369)*($F$2:$F$965=F369)*($G$2:$G$965=G369)*($H$2:$H$965=H369)*($I$2:$I$965=I369)*($J$2:$J$965=J369)*($K$2:$K$965=K369)*($N$2:$N$965=N369))=1,"خیر",IF(SUMPRODUCT(($B$2:B369=B369)*($C$2:C369=C369)*($D$2:D369=D369)*($E$2:E369=E369)*($F$2:F369=F369)*($G$2:G369=G369)*($H$2:H369=H369)*($I$2:I369=I369)*($J$2:J369=J369)*($K$2:K369=K369)*($N$2:N369=N369))=1,"بله-1","بله")))</f>
        <v>خیر</v>
      </c>
      <c r="P369" s="5" t="str" cm="1">
        <f t="array" ref="P369">IF(A369="","",IF(SUMPRODUCT(($F$2:$F$969=F369)*($I$2:$I$969=I369))=1,"خیر",IF(SUMPRODUCT(($F$2:F369=F369)*($I$2:I369=I369))=1,"بله-1","بله")))</f>
        <v>خیر</v>
      </c>
    </row>
    <row r="370" spans="1:16" ht="18.75" x14ac:dyDescent="0.25">
      <c r="A370" s="2" t="s">
        <v>638</v>
      </c>
      <c r="B370" s="2" t="s">
        <v>632</v>
      </c>
      <c r="C370" s="2" t="s">
        <v>633</v>
      </c>
      <c r="D370" s="2" t="s">
        <v>1356</v>
      </c>
      <c r="E370" s="2" t="s">
        <v>137</v>
      </c>
      <c r="F370" s="2" t="s">
        <v>639</v>
      </c>
      <c r="G370" s="2" t="s">
        <v>27</v>
      </c>
      <c r="H370" s="2" t="s">
        <v>139</v>
      </c>
      <c r="I370" s="2" t="s">
        <v>640</v>
      </c>
      <c r="J370" s="2" t="s">
        <v>641</v>
      </c>
      <c r="K370" s="2" t="s">
        <v>508</v>
      </c>
      <c r="L370" s="3">
        <f>IF(OR(TRIM(I370)="",TRIM(K370)=""),"",IFERROR((VALUE(LEFT(TRIM(I370),4))-VALUE(LEFT(TRIM(K370),4)))*12+VALUE(MID(TRIM(I370),6,2))-VALUE(MID(TRIM(K370),6,2)),""))</f>
        <v>5</v>
      </c>
      <c r="M370" s="2" t="str">
        <f>IF(TRIM(H370)="","",IFERROR(LOOKUP(2,1/(ISNUMBER(SEARCH('منطق دسته‌بندی'!$A$2:$A$187,H370))),'منطق دسته‌بندی'!$B$2:$B$187),"سایر (نیازمند بررسی دستی)"))</f>
        <v>تراز/لرزش - نصب (رگلاژ پایه)</v>
      </c>
      <c r="N370" s="2" t="s">
        <v>158</v>
      </c>
      <c r="O370" s="2" t="str" cm="1">
        <f t="array" ref="O370">IF(A370="","",IF(SUMPRODUCT(($B$2:$B$965=B370)*($C$2:$C$965=C370)*($D$2:$D$965=D370)*($E$2:$E$965=E370)*($F$2:$F$965=F370)*($G$2:$G$965=G370)*($H$2:$H$965=H370)*($I$2:$I$965=I370)*($J$2:$J$965=J370)*($K$2:$K$965=K370)*($N$2:$N$965=N370))=1,"خیر",IF(SUMPRODUCT(($B$2:B370=B370)*($C$2:C370=C370)*($D$2:D370=D370)*($E$2:E370=E370)*($F$2:F370=F370)*($G$2:G370=G370)*($H$2:H370=H370)*($I$2:I370=I370)*($J$2:J370=J370)*($K$2:K370=K370)*($N$2:N370=N370))=1,"بله-1","بله")))</f>
        <v>خیر</v>
      </c>
      <c r="P370" s="5" t="str" cm="1">
        <f t="array" ref="P370">IF(A370="","",IF(SUMPRODUCT(($F$2:$F$969=F370)*($I$2:$I$969=I370))=1,"خیر",IF(SUMPRODUCT(($F$2:F370=F370)*($I$2:I370=I370))=1,"بله-1","بله")))</f>
        <v>خیر</v>
      </c>
    </row>
    <row r="371" spans="1:16" ht="18.75" x14ac:dyDescent="0.25">
      <c r="A371" s="2">
        <v>710005528</v>
      </c>
      <c r="B371" s="2" t="s">
        <v>1950</v>
      </c>
      <c r="C371" s="2" t="s">
        <v>1951</v>
      </c>
      <c r="D371" s="2" t="s">
        <v>1356</v>
      </c>
      <c r="E371" s="2" t="s">
        <v>1107</v>
      </c>
      <c r="F371" s="2" t="s">
        <v>639</v>
      </c>
      <c r="G371" s="2" t="s">
        <v>1561</v>
      </c>
      <c r="H371" s="2" t="s">
        <v>1562</v>
      </c>
      <c r="I371" s="2" t="s">
        <v>1360</v>
      </c>
      <c r="J371" s="2" t="s">
        <v>641</v>
      </c>
      <c r="K371" s="2" t="s">
        <v>508</v>
      </c>
      <c r="L371" s="3">
        <f>IF(OR(TRIM(I371)="",TRIM(K371)=""),"",IFERROR((VALUE(LEFT(TRIM(I371),4))-VALUE(LEFT(TRIM(K371),4)))*12+VALUE(MID(TRIM(I371),6,2))-VALUE(MID(TRIM(K371),6,2)),""))</f>
        <v>9</v>
      </c>
      <c r="M371" s="2" t="str">
        <f>IF(TRIM(H371)="","",IFERROR(LOOKUP(2,1/(ISNUMBER(SEARCH('منطق دسته‌بندی'!$A$2:$A$187,H371))),'منطق دسته‌بندی'!$B$2:$B$187),"سایر (نیازمند بررسی دستی)"))</f>
        <v>خرابی - کمک فنر (تعویض)</v>
      </c>
      <c r="N371" s="2" t="s">
        <v>1563</v>
      </c>
      <c r="O371" s="2" t="str" cm="1">
        <f t="array" ref="O371">IF(A371="","",IF(SUMPRODUCT(($B$2:$B$965=B371)*($C$2:$C$965=C371)*($D$2:$D$965=D371)*($E$2:$E$965=E371)*($F$2:$F$965=F371)*($G$2:$G$965=G371)*($H$2:$H$965=H371)*($I$2:$I$965=I371)*($J$2:$J$965=J371)*($K$2:$K$965=K371)*($N$2:$N$965=N371))=1,"خیر",IF(SUMPRODUCT(($B$2:B371=B371)*($C$2:C371=C371)*($D$2:D371=D371)*($E$2:E371=E371)*($F$2:F371=F371)*($G$2:G371=G371)*($H$2:H371=H371)*($I$2:I371=I371)*($J$2:J371=J371)*($K$2:K371=K371)*($N$2:N371=N371))=1,"بله-1","بله")))</f>
        <v>خیر</v>
      </c>
      <c r="P371" s="5" t="str" cm="1">
        <f t="array" ref="P371">IF(A371="","",IF(SUMPRODUCT(($F$2:$F$969=F371)*($I$2:$I$969=I371))=1,"خیر",IF(SUMPRODUCT(($F$2:F371=F371)*($I$2:I371=I371))=1,"بله-1","بله")))</f>
        <v>خیر</v>
      </c>
    </row>
    <row r="372" spans="1:16" ht="56.25" x14ac:dyDescent="0.25">
      <c r="A372" s="2">
        <v>710005306</v>
      </c>
      <c r="B372" s="2" t="s">
        <v>1950</v>
      </c>
      <c r="C372" s="2" t="s">
        <v>1951</v>
      </c>
      <c r="D372" s="2" t="s">
        <v>1356</v>
      </c>
      <c r="E372" s="15" t="s">
        <v>1107</v>
      </c>
      <c r="F372" s="2" t="s">
        <v>1556</v>
      </c>
      <c r="G372" s="2" t="s">
        <v>1557</v>
      </c>
      <c r="H372" s="2" t="s">
        <v>1558</v>
      </c>
      <c r="I372" s="2" t="s">
        <v>1559</v>
      </c>
      <c r="J372" s="2" t="s">
        <v>219</v>
      </c>
      <c r="K372" s="2"/>
      <c r="L372" s="3" t="str">
        <f>IF(OR(TRIM(I372)="",TRIM(K372)=""),"",IFERROR((VALUE(LEFT(TRIM(I372),4))-VALUE(LEFT(TRIM(K372),4)))*12+VALUE(MID(TRIM(I372),6,2))-VALUE(MID(TRIM(K372),6,2)),""))</f>
        <v/>
      </c>
      <c r="M372" s="2" t="str">
        <f>IF(TRIM(H372)="","",IFERROR(LOOKUP(2,1/(ISNUMBER(SEARCH('منطق دسته‌بندی'!$A$2:$A$187,H372))),'منطق دسته‌بندی'!$B$2:$B$187),"سایر (نیازمند بررسی دستی)"))</f>
        <v>خرابی - سایر ایراد درام (تعویض)</v>
      </c>
      <c r="N372" s="2" t="s">
        <v>1560</v>
      </c>
      <c r="O372" s="2" t="str" cm="1">
        <f t="array" ref="O372">IF(A372="","",IF(SUMPRODUCT(($B$2:$B$965=B372)*($C$2:$C$965=C372)*($D$2:$D$965=D372)*($E$2:$E$965=E372)*($F$2:$F$965=F372)*($G$2:$G$965=G372)*($H$2:$H$965=H372)*($I$2:$I$965=I372)*($J$2:$J$965=J372)*($K$2:$K$965=K372)*($N$2:$N$965=N372))=1,"خیر",IF(SUMPRODUCT(($B$2:B372=B372)*($C$2:C372=C372)*($D$2:D372=D372)*($E$2:E372=E372)*($F$2:F372=F372)*($G$2:G372=G372)*($H$2:H372=H372)*($I$2:I372=I372)*($J$2:J372=J372)*($K$2:K372=K372)*($N$2:N372=N372))=1,"بله-1","بله")))</f>
        <v>خیر</v>
      </c>
      <c r="P372" s="5" t="str" cm="1">
        <f t="array" ref="P372">IF(A372="","",IF(SUMPRODUCT(($F$2:$F$969=F372)*($I$2:$I$969=I372))=1,"خیر",IF(SUMPRODUCT(($F$2:F372=F372)*($I$2:I372=I372))=1,"بله-1","بله")))</f>
        <v>خیر</v>
      </c>
    </row>
    <row r="373" spans="1:16" ht="18.75" x14ac:dyDescent="0.25">
      <c r="A373" s="2" t="s">
        <v>217</v>
      </c>
      <c r="B373" s="2" t="s">
        <v>16</v>
      </c>
      <c r="C373" s="2" t="s">
        <v>17</v>
      </c>
      <c r="D373" s="2" t="s">
        <v>1356</v>
      </c>
      <c r="E373" s="2" t="s">
        <v>137</v>
      </c>
      <c r="F373" s="2" t="s">
        <v>218</v>
      </c>
      <c r="G373" s="2" t="s">
        <v>27</v>
      </c>
      <c r="H373" s="2" t="s">
        <v>139</v>
      </c>
      <c r="I373" s="2" t="s">
        <v>47</v>
      </c>
      <c r="J373" s="2" t="s">
        <v>219</v>
      </c>
      <c r="K373" s="2" t="s">
        <v>207</v>
      </c>
      <c r="L373" s="3">
        <f>IF(OR(TRIM(I373)="",TRIM(K373)=""),"",IFERROR((VALUE(LEFT(TRIM(I373),4))-VALUE(LEFT(TRIM(K373),4)))*12+VALUE(MID(TRIM(I373),6,2))-VALUE(MID(TRIM(K373),6,2)),""))</f>
        <v>9</v>
      </c>
      <c r="M373" s="2" t="str">
        <f>IF(TRIM(H373)="","",IFERROR(LOOKUP(2,1/(ISNUMBER(SEARCH('منطق دسته‌بندی'!$A$2:$A$187,H373))),'منطق دسته‌بندی'!$B$2:$B$187),"سایر (نیازمند بررسی دستی)"))</f>
        <v>تراز/لرزش - نصب (رگلاژ پایه)</v>
      </c>
      <c r="N373" s="2" t="s">
        <v>158</v>
      </c>
      <c r="O373" s="2" t="str" cm="1">
        <f t="array" ref="O373">IF(A373="","",IF(SUMPRODUCT(($B$2:$B$965=B373)*($C$2:$C$965=C373)*($D$2:$D$965=D373)*($E$2:$E$965=E373)*($F$2:$F$965=F373)*($G$2:$G$965=G373)*($H$2:$H$965=H373)*($I$2:$I$965=I373)*($J$2:$J$965=J373)*($K$2:$K$965=K373)*($N$2:$N$965=N373))=1,"خیر",IF(SUMPRODUCT(($B$2:B373=B373)*($C$2:C373=C373)*($D$2:D373=D373)*($E$2:E373=E373)*($F$2:F373=F373)*($G$2:G373=G373)*($H$2:H373=H373)*($I$2:I373=I373)*($J$2:J373=J373)*($K$2:K373=K373)*($N$2:N373=N373))=1,"بله-1","بله")))</f>
        <v>خیر</v>
      </c>
      <c r="P373" s="5" t="str" cm="1">
        <f t="array" ref="P373">IF(A373="","",IF(SUMPRODUCT(($F$2:$F$969=F373)*($I$2:$I$969=I373))=1,"خیر",IF(SUMPRODUCT(($F$2:F373=F373)*($I$2:I373=I373))=1,"بله-1","بله")))</f>
        <v>خیر</v>
      </c>
    </row>
    <row r="374" spans="1:16" ht="18.75" x14ac:dyDescent="0.25">
      <c r="A374" s="2" t="s">
        <v>701</v>
      </c>
      <c r="B374" s="2" t="s">
        <v>632</v>
      </c>
      <c r="C374" s="2" t="s">
        <v>633</v>
      </c>
      <c r="D374" s="2" t="s">
        <v>1356</v>
      </c>
      <c r="E374" s="2" t="s">
        <v>137</v>
      </c>
      <c r="F374" s="2" t="s">
        <v>702</v>
      </c>
      <c r="G374" s="2" t="s">
        <v>538</v>
      </c>
      <c r="H374" s="2" t="s">
        <v>352</v>
      </c>
      <c r="I374" s="2" t="s">
        <v>700</v>
      </c>
      <c r="J374" s="2" t="s">
        <v>703</v>
      </c>
      <c r="K374" s="2" t="s">
        <v>234</v>
      </c>
      <c r="L374" s="3">
        <f>IF(OR(TRIM(I374)="",TRIM(K374)=""),"",IFERROR((VALUE(LEFT(TRIM(I374),4))-VALUE(LEFT(TRIM(K374),4)))*12+VALUE(MID(TRIM(I374),6,2))-VALUE(MID(TRIM(K374),6,2)),""))</f>
        <v>11</v>
      </c>
      <c r="M374" s="2" t="str">
        <f>IF(TRIM(H374)="","",IFERROR(LOOKUP(2,1/(ISNUMBER(SEARCH('منطق دسته‌بندی'!$A$2:$A$187,H374))),'منطق دسته‌بندی'!$B$2:$B$187),"سایر (نیازمند بررسی دستی)"))</f>
        <v>لاستیک درزگیر - دفرمگی/پارگی (تعویض)</v>
      </c>
      <c r="N374" s="2" t="s">
        <v>354</v>
      </c>
      <c r="O374" s="2" t="str" cm="1">
        <f t="array" ref="O374">IF(A374="","",IF(SUMPRODUCT(($B$2:$B$965=B374)*($C$2:$C$965=C374)*($D$2:$D$965=D374)*($E$2:$E$965=E374)*($F$2:$F$965=F374)*($G$2:$G$965=G374)*($H$2:$H$965=H374)*($I$2:$I$965=I374)*($J$2:$J$965=J374)*($K$2:$K$965=K374)*($N$2:$N$965=N374))=1,"خیر",IF(SUMPRODUCT(($B$2:B374=B374)*($C$2:C374=C374)*($D$2:D374=D374)*($E$2:E374=E374)*($F$2:F374=F374)*($G$2:G374=G374)*($H$2:H374=H374)*($I$2:I374=I374)*($J$2:J374=J374)*($K$2:K374=K374)*($N$2:N374=N374))=1,"بله-1","بله")))</f>
        <v>خیر</v>
      </c>
      <c r="P374" s="5" t="str" cm="1">
        <f t="array" ref="P374">IF(A374="","",IF(SUMPRODUCT(($F$2:$F$969=F374)*($I$2:$I$969=I374))=1,"خیر",IF(SUMPRODUCT(($F$2:F374=F374)*($I$2:I374=I374))=1,"بله-1","بله")))</f>
        <v>خیر</v>
      </c>
    </row>
    <row r="375" spans="1:16" ht="18.75" x14ac:dyDescent="0.25">
      <c r="A375" s="2" t="s">
        <v>284</v>
      </c>
      <c r="B375" s="2" t="s">
        <v>16</v>
      </c>
      <c r="C375" s="2" t="s">
        <v>17</v>
      </c>
      <c r="D375" s="2" t="s">
        <v>1356</v>
      </c>
      <c r="E375" s="2" t="s">
        <v>18</v>
      </c>
      <c r="F375" s="2" t="s">
        <v>285</v>
      </c>
      <c r="G375" s="2" t="s">
        <v>286</v>
      </c>
      <c r="H375" s="2" t="s">
        <v>287</v>
      </c>
      <c r="I375" s="2" t="s">
        <v>276</v>
      </c>
      <c r="J375" s="2" t="s">
        <v>288</v>
      </c>
      <c r="K375" s="2" t="s">
        <v>289</v>
      </c>
      <c r="L375" s="3">
        <f>IF(OR(TRIM(I375)="",TRIM(K375)=""),"",IFERROR((VALUE(LEFT(TRIM(I375),4))-VALUE(LEFT(TRIM(K375),4)))*12+VALUE(MID(TRIM(I375),6,2))-VALUE(MID(TRIM(K375),6,2)),""))</f>
        <v>6</v>
      </c>
      <c r="M375" s="2" t="str">
        <f>IF(TRIM(H375)="","",IFERROR(LOOKUP(2,1/(ISNUMBER(SEARCH('منطق دسته‌بندی'!$A$2:$A$187,H375))),'منطق دسته‌بندی'!$B$2:$B$187),"سایر (نیازمند بررسی دستی)"))</f>
        <v>نشتی - شیلنگ (تعمیر/آب‌بندی)</v>
      </c>
      <c r="N375" s="2" t="s">
        <v>24</v>
      </c>
      <c r="O375" s="2" t="str" cm="1">
        <f t="array" ref="O375">IF(A375="","",IF(SUMPRODUCT(($B$2:$B$965=B375)*($C$2:$C$965=C375)*($D$2:$D$965=D375)*($E$2:$E$965=E375)*($F$2:$F$965=F375)*($G$2:$G$965=G375)*($H$2:$H$965=H375)*($I$2:$I$965=I375)*($J$2:$J$965=J375)*($K$2:$K$965=K375)*($N$2:$N$965=N375))=1,"خیر",IF(SUMPRODUCT(($B$2:B375=B375)*($C$2:C375=C375)*($D$2:D375=D375)*($E$2:E375=E375)*($F$2:F375=F375)*($G$2:G375=G375)*($H$2:H375=H375)*($I$2:I375=I375)*($J$2:J375=J375)*($K$2:K375=K375)*($N$2:N375=N375))=1,"بله-1","بله")))</f>
        <v>خیر</v>
      </c>
      <c r="P375" s="5" t="str" cm="1">
        <f t="array" ref="P375">IF(A375="","",IF(SUMPRODUCT(($F$2:$F$969=F375)*($I$2:$I$969=I375))=1,"خیر",IF(SUMPRODUCT(($F$2:F375=F375)*($I$2:I375=I375))=1,"بله-1","بله")))</f>
        <v>خیر</v>
      </c>
    </row>
    <row r="376" spans="1:16" ht="18.75" x14ac:dyDescent="0.25">
      <c r="A376" s="2" t="s">
        <v>679</v>
      </c>
      <c r="B376" s="2" t="s">
        <v>632</v>
      </c>
      <c r="C376" s="2" t="s">
        <v>633</v>
      </c>
      <c r="D376" s="2" t="s">
        <v>1356</v>
      </c>
      <c r="E376" s="2" t="s">
        <v>18</v>
      </c>
      <c r="F376" s="2" t="s">
        <v>680</v>
      </c>
      <c r="G376" s="2" t="s">
        <v>100</v>
      </c>
      <c r="H376" s="2" t="s">
        <v>681</v>
      </c>
      <c r="I376" s="2" t="s">
        <v>682</v>
      </c>
      <c r="J376" s="2" t="s">
        <v>457</v>
      </c>
      <c r="K376" s="2" t="s">
        <v>683</v>
      </c>
      <c r="L376" s="3">
        <f>IF(OR(TRIM(I376)="",TRIM(K376)=""),"",IFERROR((VALUE(LEFT(TRIM(I376),4))-VALUE(LEFT(TRIM(K376),4)))*12+VALUE(MID(TRIM(I376),6,2))-VALUE(MID(TRIM(K376),6,2)),""))</f>
        <v>8</v>
      </c>
      <c r="M376" s="2" t="str">
        <f>IF(TRIM(H376)="","",IFERROR(LOOKUP(2,1/(ISNUMBER(SEARCH('منطق دسته‌بندی'!$A$2:$A$187,H376))),'منطق دسته‌بندی'!$B$2:$B$187),"سایر (نیازمند بررسی دستی)"))</f>
        <v>سیم‌کشی/اتصالات (تعویض/بازبینی)</v>
      </c>
      <c r="N376" s="2" t="s">
        <v>24</v>
      </c>
      <c r="O376" s="2" t="str" cm="1">
        <f t="array" ref="O376">IF(A376="","",IF(SUMPRODUCT(($B$2:$B$965=B376)*($C$2:$C$965=C376)*($D$2:$D$965=D376)*($E$2:$E$965=E376)*($F$2:$F$965=F376)*($G$2:$G$965=G376)*($H$2:$H$965=H376)*($I$2:$I$965=I376)*($J$2:$J$965=J376)*($K$2:$K$965=K376)*($N$2:$N$965=N376))=1,"خیر",IF(SUMPRODUCT(($B$2:B376=B376)*($C$2:C376=C376)*($D$2:D376=D376)*($E$2:E376=E376)*($F$2:F376=F376)*($G$2:G376=G376)*($H$2:H376=H376)*($I$2:I376=I376)*($J$2:J376=J376)*($K$2:K376=K376)*($N$2:N376=N376))=1,"بله-1","بله")))</f>
        <v>خیر</v>
      </c>
      <c r="P376" s="5" t="str" cm="1">
        <f t="array" ref="P376">IF(A376="","",IF(SUMPRODUCT(($F$2:$F$969=F376)*($I$2:$I$969=I376))=1,"خیر",IF(SUMPRODUCT(($F$2:F376=F376)*($I$2:I376=I376))=1,"بله-1","بله")))</f>
        <v>خیر</v>
      </c>
    </row>
    <row r="377" spans="1:16" ht="18.75" x14ac:dyDescent="0.25">
      <c r="A377" s="2" t="s">
        <v>455</v>
      </c>
      <c r="B377" s="2" t="s">
        <v>16</v>
      </c>
      <c r="C377" s="2" t="s">
        <v>17</v>
      </c>
      <c r="D377" s="2" t="s">
        <v>1356</v>
      </c>
      <c r="E377" s="2" t="s">
        <v>18</v>
      </c>
      <c r="F377" s="2" t="s">
        <v>456</v>
      </c>
      <c r="G377" s="2" t="s">
        <v>453</v>
      </c>
      <c r="H377" s="2" t="s">
        <v>149</v>
      </c>
      <c r="I377" s="2" t="s">
        <v>435</v>
      </c>
      <c r="J377" s="2" t="s">
        <v>457</v>
      </c>
      <c r="K377" s="2" t="s">
        <v>458</v>
      </c>
      <c r="L377" s="3">
        <f>IF(OR(TRIM(I377)="",TRIM(K377)=""),"",IFERROR((VALUE(LEFT(TRIM(I377),4))-VALUE(LEFT(TRIM(K377),4)))*12+VALUE(MID(TRIM(I377),6,2))-VALUE(MID(TRIM(K377),6,2)),""))</f>
        <v>3</v>
      </c>
      <c r="M377" s="2" t="str">
        <f>IF(TRIM(H377)="","",IFERROR(LOOKUP(2,1/(ISNUMBER(SEARCH('منطق دسته‌بندی'!$A$2:$A$187,H377))),'منطق دسته‌بندی'!$B$2:$B$187),"سایر (نیازمند بررسی دستی)"))</f>
        <v>خرابی - شیربرقی (تعویض)</v>
      </c>
      <c r="N377" s="2" t="s">
        <v>454</v>
      </c>
      <c r="O377" s="2" t="str" cm="1">
        <f t="array" ref="O377">IF(A377="","",IF(SUMPRODUCT(($B$2:$B$965=B377)*($C$2:$C$965=C377)*($D$2:$D$965=D377)*($E$2:$E$965=E377)*($F$2:$F$965=F377)*($G$2:$G$965=G377)*($H$2:$H$965=H377)*($I$2:$I$965=I377)*($J$2:$J$965=J377)*($K$2:$K$965=K377)*($N$2:$N$965=N377))=1,"خیر",IF(SUMPRODUCT(($B$2:B377=B377)*($C$2:C377=C377)*($D$2:D377=D377)*($E$2:E377=E377)*($F$2:F377=F377)*($G$2:G377=G377)*($H$2:H377=H377)*($I$2:I377=I377)*($J$2:J377=J377)*($K$2:K377=K377)*($N$2:N377=N377))=1,"بله-1","بله")))</f>
        <v>خیر</v>
      </c>
      <c r="P377" s="5" t="str" cm="1">
        <f t="array" ref="P377">IF(A377="","",IF(SUMPRODUCT(($F$2:$F$969=F377)*($I$2:$I$969=I377))=1,"خیر",IF(SUMPRODUCT(($F$2:F377=F377)*($I$2:I377=I377))=1,"بله-1","بله")))</f>
        <v>خیر</v>
      </c>
    </row>
    <row r="378" spans="1:16" ht="18.75" x14ac:dyDescent="0.25">
      <c r="A378" s="2" t="s">
        <v>25</v>
      </c>
      <c r="B378" s="2" t="s">
        <v>16</v>
      </c>
      <c r="C378" s="2" t="s">
        <v>17</v>
      </c>
      <c r="D378" s="2" t="s">
        <v>1356</v>
      </c>
      <c r="E378" s="2" t="s">
        <v>18</v>
      </c>
      <c r="F378" s="2" t="s">
        <v>26</v>
      </c>
      <c r="G378" s="2" t="s">
        <v>27</v>
      </c>
      <c r="H378" s="2" t="s">
        <v>28</v>
      </c>
      <c r="I378" s="2" t="s">
        <v>29</v>
      </c>
      <c r="J378" s="2" t="s">
        <v>30</v>
      </c>
      <c r="K378" s="2" t="s">
        <v>31</v>
      </c>
      <c r="L378" s="3">
        <f>IF(OR(TRIM(I378)="",TRIM(K378)=""),"",IFERROR((VALUE(LEFT(TRIM(I378),4))-VALUE(LEFT(TRIM(K378),4)))*12+VALUE(MID(TRIM(I378),6,2))-VALUE(MID(TRIM(K378),6,2)),""))</f>
        <v>4</v>
      </c>
      <c r="M378" s="2" t="str">
        <f>IF(TRIM(H378)="","",IFERROR(LOOKUP(2,1/(ISNUMBER(SEARCH('منطق دسته‌بندی'!$A$2:$A$187,H378))),'منطق دسته‌بندی'!$B$2:$B$187),"سایر (نیازمند بررسی دستی)"))</f>
        <v>خرابی - بلبرینگ (تعویض)</v>
      </c>
      <c r="N378" s="2" t="s">
        <v>32</v>
      </c>
      <c r="O378" s="2" t="str" cm="1">
        <f t="array" ref="O378">IF(A378="","",IF(SUMPRODUCT(($B$2:$B$965=B378)*($C$2:$C$965=C378)*($D$2:$D$965=D378)*($E$2:$E$965=E378)*($F$2:$F$965=F378)*($G$2:$G$965=G378)*($H$2:$H$965=H378)*($I$2:$I$965=I378)*($J$2:$J$965=J378)*($K$2:$K$965=K378)*($N$2:$N$965=N378))=1,"خیر",IF(SUMPRODUCT(($B$2:B378=B378)*($C$2:C378=C378)*($D$2:D378=D378)*($E$2:E378=E378)*($F$2:F378=F378)*($G$2:G378=G378)*($H$2:H378=H378)*($I$2:I378=I378)*($J$2:J378=J378)*($K$2:K378=K378)*($N$2:N378=N378))=1,"بله-1","بله")))</f>
        <v>خیر</v>
      </c>
      <c r="P378" s="5" t="str" cm="1">
        <f t="array" ref="P378">IF(A378="","",IF(SUMPRODUCT(($F$2:$F$969=F378)*($I$2:$I$969=I378))=1,"خیر",IF(SUMPRODUCT(($F$2:F378=F378)*($I$2:I378=I378))=1,"بله-1","بله")))</f>
        <v>خیر</v>
      </c>
    </row>
    <row r="379" spans="1:16" ht="37.5" x14ac:dyDescent="0.25">
      <c r="A379" s="2">
        <v>130010324</v>
      </c>
      <c r="B379" s="2" t="s">
        <v>1040</v>
      </c>
      <c r="C379" s="2" t="s">
        <v>1041</v>
      </c>
      <c r="D379" s="2" t="s">
        <v>1356</v>
      </c>
      <c r="E379" s="2" t="s">
        <v>1574</v>
      </c>
      <c r="F379" s="2" t="s">
        <v>1615</v>
      </c>
      <c r="G379" s="2" t="s">
        <v>1525</v>
      </c>
      <c r="H379" s="2" t="s">
        <v>389</v>
      </c>
      <c r="I379" s="2" t="s">
        <v>1616</v>
      </c>
      <c r="J379" s="2" t="s">
        <v>30</v>
      </c>
      <c r="K379" s="2" t="s">
        <v>1246</v>
      </c>
      <c r="L379" s="3">
        <f>IF(OR(TRIM(I379)="",TRIM(K379)=""),"",IFERROR((VALUE(LEFT(TRIM(I379),4))-VALUE(LEFT(TRIM(K379),4)))*12+VALUE(MID(TRIM(I379),6,2))-VALUE(MID(TRIM(K379),6,2)),""))</f>
        <v>11</v>
      </c>
      <c r="M379" s="2" t="str">
        <f>IF(TRIM(H379)="","",IFERROR(LOOKUP(2,1/(ISNUMBER(SEARCH('منطق دسته‌بندی'!$A$2:$A$187,H379))),'منطق دسته‌بندی'!$B$2:$B$187),"سایر (نیازمند بررسی دستی)"))</f>
        <v>خرابی - تاب برداشتن درام (تعویض)</v>
      </c>
      <c r="N379" s="2" t="s">
        <v>1617</v>
      </c>
      <c r="O379" s="2" t="str" cm="1">
        <f t="array" ref="O379">IF(A379="","",IF(SUMPRODUCT(($B$2:$B$965=B379)*($C$2:$C$965=C379)*($D$2:$D$965=D379)*($E$2:$E$965=E379)*($F$2:$F$965=F379)*($G$2:$G$965=G379)*($H$2:$H$965=H379)*($I$2:$I$965=I379)*($J$2:$J$965=J379)*($K$2:$K$965=K379)*($N$2:$N$965=N379))=1,"خیر",IF(SUMPRODUCT(($B$2:B379=B379)*($C$2:C379=C379)*($D$2:D379=D379)*($E$2:E379=E379)*($F$2:F379=F379)*($G$2:G379=G379)*($H$2:H379=H379)*($I$2:I379=I379)*($J$2:J379=J379)*($K$2:K379=K379)*($N$2:N379=N379))=1,"بله-1","بله")))</f>
        <v>خیر</v>
      </c>
      <c r="P379" s="5" t="str" cm="1">
        <f t="array" ref="P379">IF(A379="","",IF(SUMPRODUCT(($F$2:$F$969=F379)*($I$2:$I$969=I379))=1,"خیر",IF(SUMPRODUCT(($F$2:F379=F379)*($I$2:I379=I379))=1,"بله-1","بله")))</f>
        <v>خیر</v>
      </c>
    </row>
    <row r="380" spans="1:16" ht="18.75" x14ac:dyDescent="0.25">
      <c r="A380" s="2">
        <v>510026336</v>
      </c>
      <c r="B380" s="2" t="s">
        <v>1950</v>
      </c>
      <c r="C380" s="2" t="s">
        <v>1951</v>
      </c>
      <c r="D380" s="2" t="s">
        <v>1356</v>
      </c>
      <c r="E380" s="2" t="s">
        <v>1574</v>
      </c>
      <c r="F380" s="2" t="s">
        <v>1575</v>
      </c>
      <c r="G380" s="2" t="s">
        <v>1576</v>
      </c>
      <c r="H380" s="18" t="s">
        <v>1526</v>
      </c>
      <c r="I380" s="2" t="s">
        <v>1424</v>
      </c>
      <c r="J380" s="2" t="s">
        <v>1577</v>
      </c>
      <c r="K380" s="2" t="s">
        <v>1578</v>
      </c>
      <c r="L380" s="3">
        <f>IF(OR(TRIM(I380)="",TRIM(K380)=""),"",IFERROR((VALUE(LEFT(TRIM(I380),4))-VALUE(LEFT(TRIM(K380),4)))*12+VALUE(MID(TRIM(I380),6,2))-VALUE(MID(TRIM(K380),6,2)),""))</f>
        <v>15</v>
      </c>
      <c r="M380" s="2" t="str">
        <f>IF(TRIM(H380)="","",IFERROR(LOOKUP(2,1/(ISNUMBER(SEARCH('منطق دسته‌بندی'!$A$2:$A$187,H380))),'منطق دسته‌بندی'!$B$2:$B$187),"سایر (نیازمند بررسی دستی)"))</f>
        <v>تراز/لرزش - نصب (رگلاژ پایه)</v>
      </c>
      <c r="N380" s="2" t="s">
        <v>1381</v>
      </c>
      <c r="O380" s="2" t="str" cm="1">
        <f t="array" ref="O380">IF(A380="","",IF(SUMPRODUCT(($B$2:$B$965=B380)*($C$2:$C$965=C380)*($D$2:$D$965=D380)*($E$2:$E$965=E380)*($F$2:$F$965=F380)*($G$2:$G$965=G380)*($H$2:$H$965=H380)*($I$2:$I$965=I380)*($J$2:$J$965=J380)*($K$2:$K$965=K380)*($N$2:$N$965=N380))=1,"خیر",IF(SUMPRODUCT(($B$2:B380=B380)*($C$2:C380=C380)*($D$2:D380=D380)*($E$2:E380=E380)*($F$2:F380=F380)*($G$2:G380=G380)*($H$2:H380=H380)*($I$2:I380=I380)*($J$2:J380=J380)*($K$2:K380=K380)*($N$2:N380=N380))=1,"بله-1","بله")))</f>
        <v>خیر</v>
      </c>
      <c r="P380" s="5" t="str" cm="1">
        <f t="array" ref="P380">IF(A380="","",IF(SUMPRODUCT(($F$2:$F$969=F380)*($I$2:$I$969=I380))=1,"خیر",IF(SUMPRODUCT(($F$2:F380=F380)*($I$2:I380=I380))=1,"بله-1","بله")))</f>
        <v>خیر</v>
      </c>
    </row>
    <row r="381" spans="1:16" ht="18.75" x14ac:dyDescent="0.25">
      <c r="A381" s="2" t="s">
        <v>802</v>
      </c>
      <c r="B381" s="2" t="s">
        <v>632</v>
      </c>
      <c r="C381" s="2" t="s">
        <v>633</v>
      </c>
      <c r="D381" s="2" t="s">
        <v>1356</v>
      </c>
      <c r="E381" s="2" t="s">
        <v>18</v>
      </c>
      <c r="F381" s="2" t="s">
        <v>803</v>
      </c>
      <c r="G381" s="2" t="s">
        <v>608</v>
      </c>
      <c r="H381" s="2" t="s">
        <v>804</v>
      </c>
      <c r="I381" s="2" t="s">
        <v>737</v>
      </c>
      <c r="J381" s="2" t="s">
        <v>219</v>
      </c>
      <c r="K381" s="2" t="s">
        <v>737</v>
      </c>
      <c r="L381" s="3">
        <f>IF(OR(TRIM(I381)="",TRIM(K381)=""),"",IFERROR((VALUE(LEFT(TRIM(I381),4))-VALUE(LEFT(TRIM(K381),4)))*12+VALUE(MID(TRIM(I381),6,2))-VALUE(MID(TRIM(K381),6,2)),""))</f>
        <v>0</v>
      </c>
      <c r="M381" s="2" t="str">
        <f>IF(TRIM(H381)="","",IFERROR(LOOKUP(2,1/(ISNUMBER(SEARCH('منطق دسته‌بندی'!$A$2:$A$187,H381))),'منطق دسته‌بندی'!$B$2:$B$187),"سایر (نیازمند بررسی دستی)"))</f>
        <v>سیم‌کشی/اتصالات (تعمیر/تنظیم)</v>
      </c>
      <c r="N381" s="2" t="s">
        <v>24</v>
      </c>
      <c r="O381" s="2" t="str" cm="1">
        <f t="array" ref="O381">IF(A381="","",IF(SUMPRODUCT(($B$2:$B$965=B381)*($C$2:$C$965=C381)*($D$2:$D$965=D381)*($E$2:$E$965=E381)*($F$2:$F$965=F381)*($G$2:$G$965=G381)*($H$2:$H$965=H381)*($I$2:$I$965=I381)*($J$2:$J$965=J381)*($K$2:$K$965=K381)*($N$2:$N$965=N381))=1,"خیر",IF(SUMPRODUCT(($B$2:B381=B381)*($C$2:C381=C381)*($D$2:D381=D381)*($E$2:E381=E381)*($F$2:F381=F381)*($G$2:G381=G381)*($H$2:H381=H381)*($I$2:I381=I381)*($J$2:J381=J381)*($K$2:K381=K381)*($N$2:N381=N381))=1,"بله-1","بله")))</f>
        <v>خیر</v>
      </c>
      <c r="P381" s="5" t="str" cm="1">
        <f t="array" ref="P381">IF(A381="","",IF(SUMPRODUCT(($F$2:$F$969=F381)*($I$2:$I$969=I381))=1,"خیر",IF(SUMPRODUCT(($F$2:F381=F381)*($I$2:I381=I381))=1,"بله-1","بله")))</f>
        <v>خیر</v>
      </c>
    </row>
    <row r="382" spans="1:16" ht="18.75" x14ac:dyDescent="0.25">
      <c r="A382" s="2" t="s">
        <v>112</v>
      </c>
      <c r="B382" s="2" t="s">
        <v>16</v>
      </c>
      <c r="C382" s="2" t="s">
        <v>17</v>
      </c>
      <c r="D382" s="2" t="s">
        <v>1356</v>
      </c>
      <c r="E382" s="2" t="s">
        <v>18</v>
      </c>
      <c r="F382" s="2" t="s">
        <v>113</v>
      </c>
      <c r="G382" s="2" t="s">
        <v>114</v>
      </c>
      <c r="H382" s="2" t="s">
        <v>115</v>
      </c>
      <c r="I382" s="2" t="s">
        <v>47</v>
      </c>
      <c r="J382" s="2" t="s">
        <v>116</v>
      </c>
      <c r="K382" s="2" t="s">
        <v>117</v>
      </c>
      <c r="L382" s="3">
        <f>IF(OR(TRIM(I382)="",TRIM(K382)=""),"",IFERROR((VALUE(LEFT(TRIM(I382),4))-VALUE(LEFT(TRIM(K382),4)))*12+VALUE(MID(TRIM(I382),6,2))-VALUE(MID(TRIM(K382),6,2)),""))</f>
        <v>13</v>
      </c>
      <c r="M382" s="2" t="str">
        <f>IF(TRIM(H382)="","",IFERROR(LOOKUP(2,1/(ISNUMBER(SEARCH('منطق دسته‌بندی'!$A$2:$A$187,H382))),'منطق دسته‌بندی'!$B$2:$B$187),"سایر (نیازمند بررسی دستی)"))</f>
        <v>مکانیزم درب - مهره/اتصال (تنظیم)</v>
      </c>
      <c r="N382" s="2" t="s">
        <v>24</v>
      </c>
      <c r="O382" s="2" t="str" cm="1">
        <f t="array" ref="O382">IF(A382="","",IF(SUMPRODUCT(($B$2:$B$965=B382)*($C$2:$C$965=C382)*($D$2:$D$965=D382)*($E$2:$E$965=E382)*($F$2:$F$965=F382)*($G$2:$G$965=G382)*($H$2:$H$965=H382)*($I$2:$I$965=I382)*($J$2:$J$965=J382)*($K$2:$K$965=K382)*($N$2:$N$965=N382))=1,"خیر",IF(SUMPRODUCT(($B$2:B382=B382)*($C$2:C382=C382)*($D$2:D382=D382)*($E$2:E382=E382)*($F$2:F382=F382)*($G$2:G382=G382)*($H$2:H382=H382)*($I$2:I382=I382)*($J$2:J382=J382)*($K$2:K382=K382)*($N$2:N382=N382))=1,"بله-1","بله")))</f>
        <v>خیر</v>
      </c>
      <c r="P382" s="5" t="str" cm="1">
        <f t="array" ref="P382">IF(A382="","",IF(SUMPRODUCT(($F$2:$F$969=F382)*($I$2:$I$969=I382))=1,"خیر",IF(SUMPRODUCT(($F$2:F382=F382)*($I$2:I382=I382))=1,"بله-1","بله")))</f>
        <v>بله-1</v>
      </c>
    </row>
    <row r="383" spans="1:16" ht="18.75" x14ac:dyDescent="0.25">
      <c r="A383" s="2" t="s">
        <v>223</v>
      </c>
      <c r="B383" s="2" t="s">
        <v>16</v>
      </c>
      <c r="C383" s="2" t="s">
        <v>17</v>
      </c>
      <c r="D383" s="2" t="s">
        <v>1356</v>
      </c>
      <c r="E383" s="2" t="s">
        <v>18</v>
      </c>
      <c r="F383" s="2" t="s">
        <v>113</v>
      </c>
      <c r="G383" s="2" t="s">
        <v>114</v>
      </c>
      <c r="H383" s="2" t="s">
        <v>224</v>
      </c>
      <c r="I383" s="2" t="s">
        <v>47</v>
      </c>
      <c r="J383" s="2" t="s">
        <v>116</v>
      </c>
      <c r="K383" s="2" t="s">
        <v>225</v>
      </c>
      <c r="L383" s="3">
        <f>IF(OR(TRIM(I383)="",TRIM(K383)=""),"",IFERROR((VALUE(LEFT(TRIM(I383),4))-VALUE(LEFT(TRIM(K383),4)))*12+VALUE(MID(TRIM(I383),6,2))-VALUE(MID(TRIM(K383),6,2)),""))</f>
        <v>22</v>
      </c>
      <c r="M383" s="2" t="str">
        <f>IF(TRIM(H383)="","",IFERROR(LOOKUP(2,1/(ISNUMBER(SEARCH('منطق دسته‌بندی'!$A$2:$A$187,H383))),'منطق دسته‌بندی'!$B$2:$B$187),"سایر (نیازمند بررسی دستی)"))</f>
        <v>مکانیزم درب - زبانه (تعویض)</v>
      </c>
      <c r="N383" s="2" t="s">
        <v>226</v>
      </c>
      <c r="O383" s="2" t="str" cm="1">
        <f t="array" ref="O383">IF(A383="","",IF(SUMPRODUCT(($B$2:$B$965=B383)*($C$2:$C$965=C383)*($D$2:$D$965=D383)*($E$2:$E$965=E383)*($F$2:$F$965=F383)*($G$2:$G$965=G383)*($H$2:$H$965=H383)*($I$2:$I$965=I383)*($J$2:$J$965=J383)*($K$2:$K$965=K383)*($N$2:$N$965=N383))=1,"خیر",IF(SUMPRODUCT(($B$2:B383=B383)*($C$2:C383=C383)*($D$2:D383=D383)*($E$2:E383=E383)*($F$2:F383=F383)*($G$2:G383=G383)*($H$2:H383=H383)*($I$2:I383=I383)*($J$2:J383=J383)*($K$2:K383=K383)*($N$2:N383=N383))=1,"بله-1","بله")))</f>
        <v>خیر</v>
      </c>
      <c r="P383" s="5" t="str" cm="1">
        <f t="array" ref="P383">IF(A383="","",IF(SUMPRODUCT(($F$2:$F$969=F383)*($I$2:$I$969=I383))=1,"خیر",IF(SUMPRODUCT(($F$2:F383=F383)*($I$2:I383=I383))=1,"بله-1","بله")))</f>
        <v>بله</v>
      </c>
    </row>
    <row r="384" spans="1:16" ht="18.75" x14ac:dyDescent="0.25">
      <c r="A384" s="2" t="s">
        <v>978</v>
      </c>
      <c r="B384" s="2" t="s">
        <v>881</v>
      </c>
      <c r="C384" s="2" t="s">
        <v>882</v>
      </c>
      <c r="D384" s="2" t="s">
        <v>1356</v>
      </c>
      <c r="E384" s="2" t="s">
        <v>18</v>
      </c>
      <c r="F384" s="2" t="s">
        <v>979</v>
      </c>
      <c r="G384" s="2" t="s">
        <v>178</v>
      </c>
      <c r="H384" s="2" t="s">
        <v>308</v>
      </c>
      <c r="I384" s="2" t="s">
        <v>980</v>
      </c>
      <c r="J384" s="2" t="s">
        <v>981</v>
      </c>
      <c r="K384" s="2" t="s">
        <v>982</v>
      </c>
      <c r="L384" s="3">
        <f>IF(OR(TRIM(I384)="",TRIM(K384)=""),"",IFERROR((VALUE(LEFT(TRIM(I384),4))-VALUE(LEFT(TRIM(K384),4)))*12+VALUE(MID(TRIM(I384),6,2))-VALUE(MID(TRIM(K384),6,2)),""))</f>
        <v>25</v>
      </c>
      <c r="M384" s="2" t="str">
        <f>IF(TRIM(H384)="","",IFERROR(LOOKUP(2,1/(ISNUMBER(SEARCH('منطق دسته‌بندی'!$A$2:$A$187,H384))),'منطق دسته‌بندی'!$B$2:$B$187),"سایر (نیازمند بررسی دستی)"))</f>
        <v>نشتی - شیلنگ (تعمیر/آب‌بندی)</v>
      </c>
      <c r="N384" s="2" t="s">
        <v>24</v>
      </c>
      <c r="O384" s="2" t="str" cm="1">
        <f t="array" ref="O384">IF(A384="","",IF(SUMPRODUCT(($B$2:$B$965=B384)*($C$2:$C$965=C384)*($D$2:$D$965=D384)*($E$2:$E$965=E384)*($F$2:$F$965=F384)*($G$2:$G$965=G384)*($H$2:$H$965=H384)*($I$2:$I$965=I384)*($J$2:$J$965=J384)*($K$2:$K$965=K384)*($N$2:$N$965=N384))=1,"خیر",IF(SUMPRODUCT(($B$2:B384=B384)*($C$2:C384=C384)*($D$2:D384=D384)*($E$2:E384=E384)*($F$2:F384=F384)*($G$2:G384=G384)*($H$2:H384=H384)*($I$2:I384=I384)*($J$2:J384=J384)*($K$2:K384=K384)*($N$2:N384=N384))=1,"بله-1","بله")))</f>
        <v>خیر</v>
      </c>
      <c r="P384" s="5" t="str" cm="1">
        <f t="array" ref="P384">IF(A384="","",IF(SUMPRODUCT(($F$2:$F$969=F384)*($I$2:$I$969=I384))=1,"خیر",IF(SUMPRODUCT(($F$2:F384=F384)*($I$2:I384=I384))=1,"بله-1","بله")))</f>
        <v>خیر</v>
      </c>
    </row>
    <row r="385" spans="1:16" ht="18.75" x14ac:dyDescent="0.25">
      <c r="A385" s="2" t="s">
        <v>671</v>
      </c>
      <c r="B385" s="2" t="s">
        <v>632</v>
      </c>
      <c r="C385" s="2" t="s">
        <v>633</v>
      </c>
      <c r="D385" s="2" t="s">
        <v>1356</v>
      </c>
      <c r="E385" s="2" t="s">
        <v>18</v>
      </c>
      <c r="F385" s="2" t="s">
        <v>672</v>
      </c>
      <c r="G385" s="2" t="s">
        <v>608</v>
      </c>
      <c r="H385" s="2" t="s">
        <v>224</v>
      </c>
      <c r="I385" s="2" t="s">
        <v>1156</v>
      </c>
      <c r="J385" s="2" t="s">
        <v>674</v>
      </c>
      <c r="K385" s="2" t="s">
        <v>675</v>
      </c>
      <c r="L385" s="3">
        <f>IF(OR(TRIM(I385)="",TRIM(K385)=""),"",IFERROR((VALUE(LEFT(TRIM(I385),4))-VALUE(LEFT(TRIM(K385),4)))*12+VALUE(MID(TRIM(I385),6,2))-VALUE(MID(TRIM(K385),6,2)),""))</f>
        <v>0</v>
      </c>
      <c r="M385" s="2" t="str">
        <f>IF(TRIM(H385)="","",IFERROR(LOOKUP(2,1/(ISNUMBER(SEARCH('منطق دسته‌بندی'!$A$2:$A$187,H385))),'منطق دسته‌بندی'!$B$2:$B$187),"سایر (نیازمند بررسی دستی)"))</f>
        <v>مکانیزم درب - زبانه (تعویض)</v>
      </c>
      <c r="N385" s="2" t="s">
        <v>226</v>
      </c>
      <c r="O385" s="2" t="str" cm="1">
        <f t="array" ref="O385">IF(A385="","",IF(SUMPRODUCT(($B$2:$B$965=B385)*($C$2:$C$965=C385)*($D$2:$D$965=D385)*($E$2:$E$965=E385)*($F$2:$F$965=F385)*($G$2:$G$965=G385)*($H$2:$H$965=H385)*($I$2:$I$965=I385)*($J$2:$J$965=J385)*($K$2:$K$965=K385)*($N$2:$N$965=N385))=1,"خیر",IF(SUMPRODUCT(($B$2:B385=B385)*($C$2:C385=C385)*($D$2:D385=D385)*($E$2:E385=E385)*($F$2:F385=F385)*($G$2:G385=G385)*($H$2:H385=H385)*($I$2:I385=I385)*($J$2:J385=J385)*($K$2:K385=K385)*($N$2:N385=N385))=1,"بله-1","بله")))</f>
        <v>خیر</v>
      </c>
      <c r="P385" s="5" t="str" cm="1">
        <f t="array" ref="P385">IF(A385="","",IF(SUMPRODUCT(($F$2:$F$969=F385)*($I$2:$I$969=I385))=1,"خیر",IF(SUMPRODUCT(($F$2:F385=F385)*($I$2:I385=I385))=1,"بله-1","بله")))</f>
        <v>خیر</v>
      </c>
    </row>
    <row r="386" spans="1:16" ht="18.75" x14ac:dyDescent="0.25">
      <c r="A386" s="2">
        <v>510026393</v>
      </c>
      <c r="B386" s="2" t="s">
        <v>1950</v>
      </c>
      <c r="C386" s="2" t="s">
        <v>1951</v>
      </c>
      <c r="D386" s="2" t="s">
        <v>1356</v>
      </c>
      <c r="E386" s="15" t="s">
        <v>1599</v>
      </c>
      <c r="F386" s="2" t="s">
        <v>1600</v>
      </c>
      <c r="G386" s="2" t="s">
        <v>1457</v>
      </c>
      <c r="H386" s="2" t="s">
        <v>1601</v>
      </c>
      <c r="I386" s="2" t="s">
        <v>1399</v>
      </c>
      <c r="J386" s="2" t="s">
        <v>1602</v>
      </c>
      <c r="K386" s="2"/>
      <c r="L386" s="3" t="str">
        <f>IF(OR(TRIM(I386)="",TRIM(K386)=""),"",IFERROR((VALUE(LEFT(TRIM(I386),4))-VALUE(LEFT(TRIM(K386),4)))*12+VALUE(MID(TRIM(I386),6,2))-VALUE(MID(TRIM(K386),6,2)),""))</f>
        <v/>
      </c>
      <c r="M386" s="2" t="str">
        <f>IF(TRIM(H386)="","",IFERROR(LOOKUP(2,1/(ISNUMBER(SEARCH('منطق دسته‌بندی'!$A$2:$A$187,H386))),'منطق دسته‌بندی'!$B$2:$B$187),"سایر (نیازمند بررسی دستی)"))</f>
        <v>نشتی - شیلنگ (تعمیر/آب‌بندی)</v>
      </c>
      <c r="N386" s="2" t="s">
        <v>1603</v>
      </c>
      <c r="O386" s="2" t="str" cm="1">
        <f t="array" ref="O386">IF(A386="","",IF(SUMPRODUCT(($B$2:$B$965=B386)*($C$2:$C$965=C386)*($D$2:$D$965=D386)*($E$2:$E$965=E386)*($F$2:$F$965=F386)*($G$2:$G$965=G386)*($H$2:$H$965=H386)*($I$2:$I$965=I386)*($J$2:$J$965=J386)*($K$2:$K$965=K386)*($N$2:$N$965=N386))=1,"خیر",IF(SUMPRODUCT(($B$2:B386=B386)*($C$2:C386=C386)*($D$2:D386=D386)*($E$2:E386=E386)*($F$2:F386=F386)*($G$2:G386=G386)*($H$2:H386=H386)*($I$2:I386=I386)*($J$2:J386=J386)*($K$2:K386=K386)*($N$2:N386=N386))=1,"بله-1","بله")))</f>
        <v>خیر</v>
      </c>
      <c r="P386" s="5" t="str" cm="1">
        <f t="array" ref="P386">IF(A386="","",IF(SUMPRODUCT(($F$2:$F$969=F386)*($I$2:$I$969=I386))=1,"خیر",IF(SUMPRODUCT(($F$2:F386=F386)*($I$2:I386=I386))=1,"بله-1","بله")))</f>
        <v>خیر</v>
      </c>
    </row>
    <row r="387" spans="1:16" ht="18.75" x14ac:dyDescent="0.25">
      <c r="A387" s="2" t="s">
        <v>606</v>
      </c>
      <c r="B387" s="2" t="s">
        <v>16</v>
      </c>
      <c r="C387" s="2" t="s">
        <v>17</v>
      </c>
      <c r="D387" s="2" t="s">
        <v>1356</v>
      </c>
      <c r="E387" s="2" t="s">
        <v>18</v>
      </c>
      <c r="F387" s="2" t="s">
        <v>607</v>
      </c>
      <c r="G387" s="2" t="s">
        <v>608</v>
      </c>
      <c r="H387" s="2" t="s">
        <v>115</v>
      </c>
      <c r="I387" s="2" t="s">
        <v>580</v>
      </c>
      <c r="J387" s="2" t="s">
        <v>424</v>
      </c>
      <c r="K387" s="2" t="s">
        <v>609</v>
      </c>
      <c r="L387" s="3">
        <f>IF(OR(TRIM(I387)="",TRIM(K387)=""),"",IFERROR((VALUE(LEFT(TRIM(I387),4))-VALUE(LEFT(TRIM(K387),4)))*12+VALUE(MID(TRIM(I387),6,2))-VALUE(MID(TRIM(K387),6,2)),""))</f>
        <v>6</v>
      </c>
      <c r="M387" s="2" t="str">
        <f>IF(TRIM(H387)="","",IFERROR(LOOKUP(2,1/(ISNUMBER(SEARCH('منطق دسته‌بندی'!$A$2:$A$187,H387))),'منطق دسته‌بندی'!$B$2:$B$187),"سایر (نیازمند بررسی دستی)"))</f>
        <v>مکانیزم درب - مهره/اتصال (تنظیم)</v>
      </c>
      <c r="N387" s="2" t="s">
        <v>24</v>
      </c>
      <c r="O387" s="2" t="str" cm="1">
        <f t="array" ref="O387">IF(A387="","",IF(SUMPRODUCT(($B$2:$B$965=B387)*($C$2:$C$965=C387)*($D$2:$D$965=D387)*($E$2:$E$965=E387)*($F$2:$F$965=F387)*($G$2:$G$965=G387)*($H$2:$H$965=H387)*($I$2:$I$965=I387)*($J$2:$J$965=J387)*($K$2:$K$965=K387)*($N$2:$N$965=N387))=1,"خیر",IF(SUMPRODUCT(($B$2:B387=B387)*($C$2:C387=C387)*($D$2:D387=D387)*($E$2:E387=E387)*($F$2:F387=F387)*($G$2:G387=G387)*($H$2:H387=H387)*($I$2:I387=I387)*($J$2:J387=J387)*($K$2:K387=K387)*($N$2:N387=N387))=1,"بله-1","بله")))</f>
        <v>خیر</v>
      </c>
      <c r="P387" s="5" t="str" cm="1">
        <f t="array" ref="P387">IF(A387="","",IF(SUMPRODUCT(($F$2:$F$969=F387)*($I$2:$I$969=I387))=1,"خیر",IF(SUMPRODUCT(($F$2:F387=F387)*($I$2:I387=I387))=1,"بله-1","بله")))</f>
        <v>خیر</v>
      </c>
    </row>
    <row r="388" spans="1:16" ht="18.75" x14ac:dyDescent="0.25">
      <c r="A388" s="2" t="s">
        <v>625</v>
      </c>
      <c r="B388" s="2" t="s">
        <v>16</v>
      </c>
      <c r="C388" s="2" t="s">
        <v>17</v>
      </c>
      <c r="D388" s="2" t="s">
        <v>1356</v>
      </c>
      <c r="E388" s="2" t="s">
        <v>18</v>
      </c>
      <c r="F388" s="2" t="s">
        <v>607</v>
      </c>
      <c r="G388" s="2" t="s">
        <v>27</v>
      </c>
      <c r="H388" s="2" t="s">
        <v>1581</v>
      </c>
      <c r="I388" s="2" t="s">
        <v>623</v>
      </c>
      <c r="J388" s="2" t="s">
        <v>424</v>
      </c>
      <c r="K388" s="2" t="s">
        <v>609</v>
      </c>
      <c r="L388" s="3">
        <f>IF(OR(TRIM(I388)="",TRIM(K388)=""),"",IFERROR((VALUE(LEFT(TRIM(I388),4))-VALUE(LEFT(TRIM(K388),4)))*12+VALUE(MID(TRIM(I388),6,2))-VALUE(MID(TRIM(K388),6,2)),""))</f>
        <v>6</v>
      </c>
      <c r="M388" s="2" t="str">
        <f>IF(TRIM(H388)="","",IFERROR(LOOKUP(2,1/(ISNUMBER(SEARCH('منطق دسته‌بندی'!$A$2:$A$187,H388))),'منطق دسته‌بندی'!$B$2:$B$187),"سایر (نیازمند بررسی دستی)"))</f>
        <v>خرابی - پمپ تخلیه (تعویض)</v>
      </c>
      <c r="N388" s="2" t="s">
        <v>517</v>
      </c>
      <c r="O388" s="2" t="str" cm="1">
        <f t="array" ref="O388">IF(A388="","",IF(SUMPRODUCT(($B$2:$B$965=B388)*($C$2:$C$965=C388)*($D$2:$D$965=D388)*($E$2:$E$965=E388)*($F$2:$F$965=F388)*($G$2:$G$965=G388)*($H$2:$H$965=H388)*($I$2:$I$965=I388)*($J$2:$J$965=J388)*($K$2:$K$965=K388)*($N$2:$N$965=N388))=1,"خیر",IF(SUMPRODUCT(($B$2:B388=B388)*($C$2:C388=C388)*($D$2:D388=D388)*($E$2:E388=E388)*($F$2:F388=F388)*($G$2:G388=G388)*($H$2:H388=H388)*($I$2:I388=I388)*($J$2:J388=J388)*($K$2:K388=K388)*($N$2:N388=N388))=1,"بله-1","بله")))</f>
        <v>خیر</v>
      </c>
      <c r="P388" s="5" t="str" cm="1">
        <f t="array" ref="P388">IF(A388="","",IF(SUMPRODUCT(($F$2:$F$969=F388)*($I$2:$I$969=I388))=1,"خیر",IF(SUMPRODUCT(($F$2:F388=F388)*($I$2:I388=I388))=1,"بله-1","بله")))</f>
        <v>خیر</v>
      </c>
    </row>
    <row r="389" spans="1:16" ht="18.75" x14ac:dyDescent="0.25">
      <c r="A389" s="2" t="s">
        <v>935</v>
      </c>
      <c r="B389" s="2" t="s">
        <v>881</v>
      </c>
      <c r="C389" s="2" t="s">
        <v>882</v>
      </c>
      <c r="D389" s="2" t="s">
        <v>1356</v>
      </c>
      <c r="E389" s="2" t="s">
        <v>18</v>
      </c>
      <c r="F389" s="2" t="s">
        <v>936</v>
      </c>
      <c r="G389" s="2" t="s">
        <v>608</v>
      </c>
      <c r="H389" s="2" t="s">
        <v>115</v>
      </c>
      <c r="I389" s="2" t="s">
        <v>937</v>
      </c>
      <c r="J389" s="2" t="s">
        <v>571</v>
      </c>
      <c r="K389" s="2" t="s">
        <v>919</v>
      </c>
      <c r="L389" s="3">
        <f>IF(OR(TRIM(I389)="",TRIM(K389)=""),"",IFERROR((VALUE(LEFT(TRIM(I389),4))-VALUE(LEFT(TRIM(K389),4)))*12+VALUE(MID(TRIM(I389),6,2))-VALUE(MID(TRIM(K389),6,2)),""))</f>
        <v>0</v>
      </c>
      <c r="M389" s="2" t="str">
        <f>IF(TRIM(H389)="","",IFERROR(LOOKUP(2,1/(ISNUMBER(SEARCH('منطق دسته‌بندی'!$A$2:$A$187,H389))),'منطق دسته‌بندی'!$B$2:$B$187),"سایر (نیازمند بررسی دستی)"))</f>
        <v>مکانیزم درب - مهره/اتصال (تنظیم)</v>
      </c>
      <c r="N389" s="2" t="s">
        <v>24</v>
      </c>
      <c r="O389" s="2" t="str" cm="1">
        <f t="array" ref="O389">IF(A389="","",IF(SUMPRODUCT(($B$2:$B$965=B389)*($C$2:$C$965=C389)*($D$2:$D$965=D389)*($E$2:$E$965=E389)*($F$2:$F$965=F389)*($G$2:$G$965=G389)*($H$2:$H$965=H389)*($I$2:$I$965=I389)*($J$2:$J$965=J389)*($K$2:$K$965=K389)*($N$2:$N$965=N389))=1,"خیر",IF(SUMPRODUCT(($B$2:B389=B389)*($C$2:C389=C389)*($D$2:D389=D389)*($E$2:E389=E389)*($F$2:F389=F389)*($G$2:G389=G389)*($H$2:H389=H389)*($I$2:I389=I389)*($J$2:J389=J389)*($K$2:K389=K389)*($N$2:N389=N389))=1,"بله-1","بله")))</f>
        <v>خیر</v>
      </c>
      <c r="P389" s="5" t="str" cm="1">
        <f t="array" ref="P389">IF(A389="","",IF(SUMPRODUCT(($F$2:$F$969=F389)*($I$2:$I$969=I389))=1,"خیر",IF(SUMPRODUCT(($F$2:F389=F389)*($I$2:I389=I389))=1,"بله-1","بله")))</f>
        <v>خیر</v>
      </c>
    </row>
    <row r="390" spans="1:16" ht="37.5" x14ac:dyDescent="0.25">
      <c r="A390" s="2">
        <v>130012451</v>
      </c>
      <c r="B390" s="2" t="s">
        <v>1950</v>
      </c>
      <c r="C390" s="2" t="s">
        <v>1951</v>
      </c>
      <c r="D390" s="2" t="s">
        <v>1356</v>
      </c>
      <c r="E390" s="2" t="s">
        <v>1362</v>
      </c>
      <c r="F390" s="2" t="s">
        <v>1955</v>
      </c>
      <c r="G390" s="2" t="s">
        <v>1974</v>
      </c>
      <c r="H390" s="2" t="s">
        <v>1526</v>
      </c>
      <c r="I390" s="2" t="s">
        <v>1996</v>
      </c>
      <c r="J390" s="2" t="s">
        <v>581</v>
      </c>
      <c r="K390" s="2" t="s">
        <v>314</v>
      </c>
      <c r="L390" s="3">
        <f>IF(OR(TRIM(I390)="",TRIM(K390)=""),"",IFERROR((VALUE(LEFT(TRIM(I390),4))-VALUE(LEFT(TRIM(K390),4)))*12+VALUE(MID(TRIM(I390),6,2))-VALUE(MID(TRIM(K390),6,2)),""))</f>
        <v>26</v>
      </c>
      <c r="M390" s="2" t="str">
        <f>IF(OR(ISNUMBER(SEARCH("بدون مورد",H390)),ISNUMBER(SEARCH("غير گارانتي",H390)),ISNUMBER(SEARCH("غیر گارانتی",H390)),ISNUMBER(SEARCH("بدون اجرت",H390)),ISNUMBER(SEARCH("فيلتر",H390)),ISNUMBER(SEARCH("فیلتر",H390))),"غیرگارانتی/بدون قطعه",IF(OR(ISNUMBER(SEARCH("ريست",H390)),ISNUMBER(SEARCH("ریست",H390))),"ریست نرم‌افزاری (بدون قطعه)",IF(OR(ISNUMBER(SEARCH("تعویض محصول",H390)),ISNUMBER(SEARCH("تعویض دستگاه",H390))),"تعویض کامل دستگاه (Replacement)",IF(ISNUMBER(SEARCH("پمپ",H390)),IF(ISNUMBER(SEARCH("نشت",H390)),"نشتی - پمپ تخلیه (تعمیر/آب‌بندی)","خرابی - پمپ تخلیه (تعویض)"),IF(ISNUMBER(SEARCH("کمپرسور",H390)),"خرابی - کمپرسور (تعویض)",IF(ISNUMBER(SEARCH("کمک فنر",H390)),"خرابی - کمک فنر (تعویض)",IF(ISNUMBER(SEARCH("لولا",H390)),"مکانیزم درب - لولا (تعویض)",IF(OR(ISNUMBER(SEARCH("قلاب",H390)),ISNUMBER(SEARCH("ميکروسوئيچ",H390)),ISNUMBER(SEARCH("میکروسوئیچ",H390))),"مکانیزم درب - میکروسوئیچ/قلاب (تعویض/تنظیم)",IF(ISNUMBER(SEARCH("زبانه",H390)),"مکانیزم درب - زبانه (تعویض)",IF(OR(ISNUMBER(SEARCH("شيلنگ",H390)),ISNUMBER(SEARCH("شیلنگ",H390))),IF(OR(ISNUMBER(SEARCH("نشتی",H390)),ISNUMBER(SEARCH("نشتي",H390))),"نشتی - شیلنگ (تعمیر/آب‌بندی)",IF(OR(ISNUMBER(SEARCH("يخ",H390)),ISNUMBER(SEARCH("یخ",H390))),"شیلنگ یخساز - یخ‌زدگی (بازبینی)","شیلنگ - برخورد/لهیدگی (بازبینی)")),IF(OR(ISNUMBER(SEARCH("تنظيم ديسپل",H390)),ISNUMBER(SEARCH("تنظیم دیسپل",H390)),ISNUMBER(SEARCH("تنظيم صفحه نمايش",H390)),ISNUMBER(SEARCH("تنظیم صفحه نمایش",H390))),"تنظیم - تنظیمات دستگاه/دیسپلی (تعمیر)",IF(OR(ISNUMBER(SEARCH("برد",H390)),ISNUMBER(SEARCH("سوکت",H390)),ISNUMBER(SEARCH("ديسپل",H390)),ISNUMBER(SEARCH("دیسپل",H390))),"خرابی - برد الکترونیک (تعویض)",IF(OR(ISNUMBER(SEARCH("يخساز",H390)),ISNUMBER(SEARCH("یخساز",H390)),ISNUMBER(SEARCH("دمپر",H390))),IF(OR(ISNUMBER(SEARCH("خرابی",H390)),ISNUMBER(SEARCH("خراب",H390)),ISNUMBER(SEARCH("عدم کارکرد",H390)),ISNUMBER(SEARCH("عدم عملکرد",H390))),"یخساز - خرابی موتور/سنسور/برد (تعویض)","یخساز - تنظیم/عایق (تعمیر)"),IF(OR(ISNUMBER(SEARCH("لاستيک",H390)),ISNUMBER(SEARCH("لاستیک",H390))),"لاستیک درزگیر - دفرمگی/پارگی (تعویض)",IF(OR(ISNUMBER(SEARCH("گسکت",H390)),ISNUMBER(SEARCH("گسگت",H390))),"لاستیک درزگیر - دفرمگی/پارگی (تعویض)",IF(ISNUMBER(SEARCH("مخزن نمک",H390)),"نشتی - درب مخزن نمک (تعمیر/آب‌بندی)",IF(ISNUMBER(SEARCH("براکت",H390)),"نشتی - براکت ریل (تعمیر/آب‌بندی)",IF(ISNUMBER(SEARCH("جاپودر",H390)),"نشتی - جاپودری (تعمیر/آب‌بندی)",IF(ISNUMBER(SEARCH("مقسم",H390)),"نشتی - مقسم آب (تعمیر/آب‌بندی)",IF(OR(ISNUMBER(SEARCH("سنسور دما",H390)),ISNUMBER(SEARCH("ترموستات",H390))),"خرابی - ترموستات (تعویض)",IF(OR(ISNUMBER(SEARCH("هيدروستات",H390)),ISNUMBER(SEARCH("هیدروستات",H390))),"خرابی - هیدروستات (تعویض)",IF(OR(ISNUMBER(SEARCH("بلبرينگ",H390)),ISNUMBER(SEARCH("بلبرینگ",H390))),"خرابی - بلبرینگ (تعویض)",IF(OR(ISNUMBER(SEARCH("شيربرق",H390)),ISNUMBER(SEARCH("شیربرق",H390))),"خرابی - شیربرقی (تعویض)",IF(OR(ISNUMBER(SEARCH("واتر جت",H390)),ISNUMBER(SEARCH("واترجت",H390))),"خرابی - واترجت (تعویض)",IF(OR(ISNUMBER(SEARCH("سيم",H390)),ISNUMBER(SEARCH("سیم",H390)),ISNUMBER(SEARCH("اتصال",H390))),"سیم‌کشی/اتصالات (تعویض/بازبینی)",IF(OR(ISNUMBER(SEARCH("تصوير",H390)),ISNUMBER(SEARCH("تصویر",H390))),"برد نمایش تلویزیون (تعویض)",IF(OR(ISNUMBER(SEARCH("ريموت",H390)),ISNUMBER(SEARCH("ریموت",H390))),"ریموت کنترل (تعویض/تعمیر)",IF(OR(ISNUMBER(SEARCH("ال اي دي",H390)),ISNUMBER(SEARCH("ال ای دی",H390)),ISNUMBER(SEARCH("LED",H390))),"خرابی - لامپ/LED داخلی (تعویض)",IF(ISNUMBER(SEARCH("زنگ زدگ",H390)),"زنگ‌زدگی بدنه/قطعه (تعویض)",IF(OR(ISNUMBER(SEARCH("قطعات تزئين",H390)),ISNUMBER(SEARCH("قطعات تزئین",H390))),"قطعات تزئینی - شکستگی/کسری (تعویض)",IF(ISNUMBER(SEARCH("سبد",H390)),"سبد ظرفشویی - شکستگی (تعویض)",IF(ISNUMBER(SEARCH("تاب درام",H390)),"خرابی - تاب برداشتن درام (تعویض)",IF(ISNUMBER(SEARCH("درام",H390)),"خرابی - سایر ایراد درام (تعویض)",IF(ISNUMBER(SEARCH("موتور",H390)),"خرابی - موتور (تعویض)",IF(ISNUMBER(SEARCH("تسمه",H390)),"خرابی - تسمه (تعویض)",IF(OR(ISNUMBER(SEARCH("پيچ ولوم",H390)),ISNUMBER(SEARCH("پیچ ولوم",H390))),"تنظیم - پیچ ولوم/دکمه (تعمیر)",IF(OR(ISNUMBER(SEARCH("کسري قطعات",H390)),ISNUMBER(SEARCH("کسری قطعات",H390))),"کسری قطعات تزئینی (تعویض)",IF(ISNUMBER(SEARCH("پرچ",H390)),"پرچ/بدنه کابین(تعمیر)",IF(OR(ISNUMBER(SEARCH("نشت",H390)),ISNUMBER(SEARCH("آبريزش",H390)),ISNUMBER(SEARCH("آبریزش",H390))),"نشتی آب - محل نامشخص (نیازمند بازدید)",IF(ISNUMBER(SEARCH("درب",H390)),"سایر اجزای درب (بازبینی)",IF(ISNUMBER(SEARCH("ضربه",H390)),"بدنه/کابین - ضربه (بازبینی/تعویض پنل)",IF(ISNUMBER(SEARCH("تراز",H390)),"تراز/لرزش - نصب (رگلاژ پایه)",IF(OR(ISNUMBER(SEARCH("تعویض",H390)),ISNUMBER(SEARCH("تعويض",H390))),"تعویض کامل دستگاه (Replacement)","سایر (نیازمند بررسی دستی)")))))))))))))))))))))))))))))))))))))))))))</f>
        <v>تراز/لرزش - نصب (رگلاژ پایه)</v>
      </c>
      <c r="N390" s="2" t="s">
        <v>1381</v>
      </c>
      <c r="O390" s="2" t="str" cm="1">
        <f t="array" ref="O390">IF(A390="","",IF(SUMPRODUCT(($B$2:$B$965=B390)*($C$2:$C$965=C390)*($D$2:$D$965=D390)*($E$2:$E$965=E390)*($F$2:$F$965=F390)*($G$2:$G$965=G390)*($H$2:$H$965=H390)*($I$2:$I$965=I390)*($J$2:$J$965=J390)*($K$2:$K$965=K390)*($N$2:$N$965=N390))=1,"خیر",IF(SUMPRODUCT(($B$2:B390=B390)*($C$2:C390=C390)*($D$2:D390=D390)*($E$2:E390=E390)*($F$2:F390=F390)*($G$2:G390=G390)*($H$2:H390=H390)*($I$2:I390=I390)*($J$2:J390=J390)*($K$2:K390=K390)*($N$2:N390=N390))=1,"بله-1","بله")))</f>
        <v>خیر</v>
      </c>
      <c r="P390" s="5" t="str" cm="1">
        <f t="array" ref="P390">IF(A390="","",IF(SUMPRODUCT(($F$2:$F$969=F390)*($I$2:$I$969=I390))=1,"خیر",IF(SUMPRODUCT(($F$2:F390=F390)*($I$2:I390=I390))=1,"بله-1","بله")))</f>
        <v>خیر</v>
      </c>
    </row>
    <row r="391" spans="1:16" ht="18.75" x14ac:dyDescent="0.25">
      <c r="A391" s="2" t="s">
        <v>577</v>
      </c>
      <c r="B391" s="2" t="s">
        <v>16</v>
      </c>
      <c r="C391" s="2" t="s">
        <v>17</v>
      </c>
      <c r="D391" s="2" t="s">
        <v>1356</v>
      </c>
      <c r="E391" s="2" t="s">
        <v>18</v>
      </c>
      <c r="F391" s="2" t="s">
        <v>578</v>
      </c>
      <c r="G391" s="2" t="s">
        <v>579</v>
      </c>
      <c r="H391" s="2" t="s">
        <v>149</v>
      </c>
      <c r="I391" s="2" t="s">
        <v>580</v>
      </c>
      <c r="J391" s="2" t="s">
        <v>581</v>
      </c>
      <c r="K391" s="2" t="s">
        <v>582</v>
      </c>
      <c r="L391" s="3">
        <f>IF(OR(TRIM(I391)="",TRIM(K391)=""),"",IFERROR((VALUE(LEFT(TRIM(I391),4))-VALUE(LEFT(TRIM(K391),4)))*12+VALUE(MID(TRIM(I391),6,2))-VALUE(MID(TRIM(K391),6,2)),""))</f>
        <v>17</v>
      </c>
      <c r="M391" s="2" t="str">
        <f>IF(TRIM(H391)="","",IFERROR(LOOKUP(2,1/(ISNUMBER(SEARCH('منطق دسته‌بندی'!$A$2:$A$187,H391))),'منطق دسته‌بندی'!$B$2:$B$187),"سایر (نیازمند بررسی دستی)"))</f>
        <v>خرابی - شیربرقی (تعویض)</v>
      </c>
      <c r="N391" s="2" t="s">
        <v>454</v>
      </c>
      <c r="O391" s="2" t="str" cm="1">
        <f t="array" ref="O391">IF(A391="","",IF(SUMPRODUCT(($B$2:$B$965=B391)*($C$2:$C$965=C391)*($D$2:$D$965=D391)*($E$2:$E$965=E391)*($F$2:$F$965=F391)*($G$2:$G$965=G391)*($H$2:$H$965=H391)*($I$2:$I$965=I391)*($J$2:$J$965=J391)*($K$2:$K$965=K391)*($N$2:$N$965=N391))=1,"خیر",IF(SUMPRODUCT(($B$2:B391=B391)*($C$2:C391=C391)*($D$2:D391=D391)*($E$2:E391=E391)*($F$2:F391=F391)*($G$2:G391=G391)*($H$2:H391=H391)*($I$2:I391=I391)*($J$2:J391=J391)*($K$2:K391=K391)*($N$2:N391=N391))=1,"بله-1","بله")))</f>
        <v>خیر</v>
      </c>
      <c r="P391" s="5" t="str" cm="1">
        <f t="array" ref="P391">IF(A391="","",IF(SUMPRODUCT(($F$2:$F$969=F391)*($I$2:$I$969=I391))=1,"خیر",IF(SUMPRODUCT(($F$2:F391=F391)*($I$2:I391=I391))=1,"بله-1","بله")))</f>
        <v>خیر</v>
      </c>
    </row>
    <row r="392" spans="1:16" ht="18.75" x14ac:dyDescent="0.25">
      <c r="A392" s="2" t="s">
        <v>796</v>
      </c>
      <c r="B392" s="2" t="s">
        <v>632</v>
      </c>
      <c r="C392" s="2" t="s">
        <v>633</v>
      </c>
      <c r="D392" s="2" t="s">
        <v>1356</v>
      </c>
      <c r="E392" s="2" t="s">
        <v>34</v>
      </c>
      <c r="F392" s="2" t="s">
        <v>797</v>
      </c>
      <c r="G392" s="2" t="s">
        <v>214</v>
      </c>
      <c r="H392" s="2" t="s">
        <v>389</v>
      </c>
      <c r="I392" s="2" t="s">
        <v>773</v>
      </c>
      <c r="J392" s="2" t="s">
        <v>798</v>
      </c>
      <c r="K392" s="2" t="s">
        <v>301</v>
      </c>
      <c r="L392" s="3">
        <f>IF(OR(TRIM(I392)="",TRIM(K392)=""),"",IFERROR((VALUE(LEFT(TRIM(I392),4))-VALUE(LEFT(TRIM(K392),4)))*12+VALUE(MID(TRIM(I392),6,2))-VALUE(MID(TRIM(K392),6,2)),""))</f>
        <v>7</v>
      </c>
      <c r="M392" s="2" t="str">
        <f>IF(TRIM(H392)="","",IFERROR(LOOKUP(2,1/(ISNUMBER(SEARCH('منطق دسته‌بندی'!$A$2:$A$187,H392))),'منطق دسته‌بندی'!$B$2:$B$187),"سایر (نیازمند بررسی دستی)"))</f>
        <v>خرابی - تاب برداشتن درام (تعویض)</v>
      </c>
      <c r="N392" s="2" t="s">
        <v>24</v>
      </c>
      <c r="O392" s="2" t="str" cm="1">
        <f t="array" ref="O392">IF(A392="","",IF(SUMPRODUCT(($B$2:$B$965=B392)*($C$2:$C$965=C392)*($D$2:$D$965=D392)*($E$2:$E$965=E392)*($F$2:$F$965=F392)*($G$2:$G$965=G392)*($H$2:$H$965=H392)*($I$2:$I$965=I392)*($J$2:$J$965=J392)*($K$2:$K$965=K392)*($N$2:$N$965=N392))=1,"خیر",IF(SUMPRODUCT(($B$2:B392=B392)*($C$2:C392=C392)*($D$2:D392=D392)*($E$2:E392=E392)*($F$2:F392=F392)*($G$2:G392=G392)*($H$2:H392=H392)*($I$2:I392=I392)*($J$2:J392=J392)*($K$2:K392=K392)*($N$2:N392=N392))=1,"بله-1","بله")))</f>
        <v>خیر</v>
      </c>
      <c r="P392" s="5" t="str" cm="1">
        <f t="array" ref="P392">IF(A392="","",IF(SUMPRODUCT(($F$2:$F$969=F392)*($I$2:$I$969=I392))=1,"خیر",IF(SUMPRODUCT(($F$2:F392=F392)*($I$2:I392=I392))=1,"بله-1","بله")))</f>
        <v>خیر</v>
      </c>
    </row>
    <row r="393" spans="1:16" ht="18.75" x14ac:dyDescent="0.25">
      <c r="A393" s="2">
        <v>210025295</v>
      </c>
      <c r="B393" s="2" t="s">
        <v>1950</v>
      </c>
      <c r="C393" s="2" t="s">
        <v>1951</v>
      </c>
      <c r="D393" s="2" t="s">
        <v>1356</v>
      </c>
      <c r="E393" s="2" t="s">
        <v>1971</v>
      </c>
      <c r="F393" s="2" t="s">
        <v>1967</v>
      </c>
      <c r="G393" s="2" t="s">
        <v>1982</v>
      </c>
      <c r="H393" s="2" t="s">
        <v>1993</v>
      </c>
      <c r="I393" s="2" t="s">
        <v>2001</v>
      </c>
      <c r="J393" s="2" t="s">
        <v>391</v>
      </c>
      <c r="K393" s="2" t="s">
        <v>282</v>
      </c>
      <c r="L393" s="3">
        <f>IF(OR(TRIM(I393)="",TRIM(K393)=""),"",IFERROR((VALUE(LEFT(TRIM(I393),4))-VALUE(LEFT(TRIM(K393),4)))*12+VALUE(MID(TRIM(I393),6,2))-VALUE(MID(TRIM(K393),6,2)),""))</f>
        <v>13</v>
      </c>
      <c r="M393" s="2" t="str">
        <f>IF(OR(ISNUMBER(SEARCH("بدون مورد",H393)),ISNUMBER(SEARCH("غير گارانتي",H393)),ISNUMBER(SEARCH("غیر گارانتی",H393)),ISNUMBER(SEARCH("بدون اجرت",H393)),ISNUMBER(SEARCH("فيلتر",H393)),ISNUMBER(SEARCH("فیلتر",H393))),"غیرگارانتی/بدون قطعه",IF(OR(ISNUMBER(SEARCH("ريست",H393)),ISNUMBER(SEARCH("ریست",H393))),"ریست نرم‌افزاری (بدون قطعه)",IF(OR(ISNUMBER(SEARCH("تعویض محصول",H393)),ISNUMBER(SEARCH("تعویض دستگاه",H393))),"تعویض کامل دستگاه (Replacement)",IF(ISNUMBER(SEARCH("پمپ",H393)),IF(ISNUMBER(SEARCH("نشت",H393)),"نشتی - پمپ تخلیه (تعمیر/آب‌بندی)","خرابی - پمپ تخلیه (تعویض)"),IF(ISNUMBER(SEARCH("کمپرسور",H393)),"خرابی - کمپرسور (تعویض)",IF(ISNUMBER(SEARCH("کمک فنر",H393)),"خرابی - کمک فنر (تعویض)",IF(ISNUMBER(SEARCH("لولا",H393)),"مکانیزم درب - لولا (تعویض)",IF(OR(ISNUMBER(SEARCH("قلاب",H393)),ISNUMBER(SEARCH("ميکروسوئيچ",H393)),ISNUMBER(SEARCH("میکروسوئیچ",H393))),"مکانیزم درب - میکروسوئیچ/قلاب (تعویض/تنظیم)",IF(ISNUMBER(SEARCH("زبانه",H393)),"مکانیزم درب - زبانه (تعویض)",IF(OR(ISNUMBER(SEARCH("شيلنگ",H393)),ISNUMBER(SEARCH("شیلنگ",H393))),IF(OR(ISNUMBER(SEARCH("نشتی",H393)),ISNUMBER(SEARCH("نشتي",H393))),"نشتی - شیلنگ (تعمیر/آب‌بندی)",IF(OR(ISNUMBER(SEARCH("يخ",H393)),ISNUMBER(SEARCH("یخ",H393))),"شیلنگ یخساز - یخ‌زدگی (بازبینی)","شیلنگ - برخورد/لهیدگی (بازبینی)")),IF(OR(ISNUMBER(SEARCH("تنظيم ديسپل",H393)),ISNUMBER(SEARCH("تنظیم دیسپل",H393)),ISNUMBER(SEARCH("تنظيم صفحه نمايش",H393)),ISNUMBER(SEARCH("تنظیم صفحه نمایش",H393))),"تنظیم - تنظیمات دستگاه/دیسپلی (تعمیر)",IF(OR(ISNUMBER(SEARCH("برد",H393)),ISNUMBER(SEARCH("سوکت",H393)),ISNUMBER(SEARCH("ديسپل",H393)),ISNUMBER(SEARCH("دیسپل",H393))),"خرابی - برد الکترونیک (تعویض)",IF(OR(ISNUMBER(SEARCH("يخساز",H393)),ISNUMBER(SEARCH("یخساز",H393)),ISNUMBER(SEARCH("دمپر",H393))),IF(OR(ISNUMBER(SEARCH("خرابی",H393)),ISNUMBER(SEARCH("خراب",H393)),ISNUMBER(SEARCH("عدم کارکرد",H393)),ISNUMBER(SEARCH("عدم عملکرد",H393))),"یخساز - خرابی موتور/سنسور/برد (تعویض)","یخساز - تنظیم/عایق (تعمیر)"),IF(OR(ISNUMBER(SEARCH("لاستيک",H393)),ISNUMBER(SEARCH("لاستیک",H393))),"لاستیک درزگیر - دفرمگی/پارگی (تعویض)",IF(OR(ISNUMBER(SEARCH("گسکت",H393)),ISNUMBER(SEARCH("گسگت",H393))),"لاستیک درزگیر - دفرمگی/پارگی (تعویض)",IF(ISNUMBER(SEARCH("مخزن نمک",H393)),"نشتی - درب مخزن نمک (تعمیر/آب‌بندی)",IF(ISNUMBER(SEARCH("براکت",H393)),"نشتی - براکت ریل (تعمیر/آب‌بندی)",IF(ISNUMBER(SEARCH("جاپودر",H393)),"نشتی - جاپودری (تعمیر/آب‌بندی)",IF(ISNUMBER(SEARCH("مقسم",H393)),"نشتی - مقسم آب (تعمیر/آب‌بندی)",IF(OR(ISNUMBER(SEARCH("سنسور دما",H393)),ISNUMBER(SEARCH("ترموستات",H393))),"خرابی - ترموستات (تعویض)",IF(OR(ISNUMBER(SEARCH("هيدروستات",H393)),ISNUMBER(SEARCH("هیدروستات",H393))),"خرابی - هیدروستات (تعویض)",IF(OR(ISNUMBER(SEARCH("بلبرينگ",H393)),ISNUMBER(SEARCH("بلبرینگ",H393))),"خرابی - بلبرینگ (تعویض)",IF(OR(ISNUMBER(SEARCH("شيربرق",H393)),ISNUMBER(SEARCH("شیربرق",H393))),"خرابی - شیربرقی (تعویض)",IF(OR(ISNUMBER(SEARCH("واتر جت",H393)),ISNUMBER(SEARCH("واترجت",H393))),"خرابی - واترجت (تعویض)",IF(OR(ISNUMBER(SEARCH("سيم",H393)),ISNUMBER(SEARCH("سیم",H393)),ISNUMBER(SEARCH("اتصال",H393))),"سیم‌کشی/اتصالات (تعویض/بازبینی)",IF(OR(ISNUMBER(SEARCH("تصوير",H393)),ISNUMBER(SEARCH("تصویر",H393))),"برد نمایش تلویزیون (تعویض)",IF(OR(ISNUMBER(SEARCH("ريموت",H393)),ISNUMBER(SEARCH("ریموت",H393))),"ریموت کنترل (تعویض/تعمیر)",IF(OR(ISNUMBER(SEARCH("ال اي دي",H393)),ISNUMBER(SEARCH("ال ای دی",H393)),ISNUMBER(SEARCH("LED",H393))),"خرابی - لامپ/LED داخلی (تعویض)",IF(ISNUMBER(SEARCH("زنگ زدگ",H393)),"زنگ‌زدگی بدنه/قطعه (تعویض)",IF(OR(ISNUMBER(SEARCH("قطعات تزئين",H393)),ISNUMBER(SEARCH("قطعات تزئین",H393))),"قطعات تزئینی - شکستگی/کسری (تعویض)",IF(ISNUMBER(SEARCH("سبد",H393)),"سبد ظرفشویی - شکستگی (تعویض)",IF(ISNUMBER(SEARCH("تاب درام",H393)),"خرابی - تاب برداشتن درام (تعویض)",IF(ISNUMBER(SEARCH("درام",H393)),"خرابی - سایر ایراد درام (تعویض)",IF(ISNUMBER(SEARCH("موتور",H393)),"خرابی - موتور (تعویض)",IF(ISNUMBER(SEARCH("تسمه",H393)),"خرابی - تسمه (تعویض)",IF(OR(ISNUMBER(SEARCH("پيچ ولوم",H393)),ISNUMBER(SEARCH("پیچ ولوم",H393))),"تنظیم - پیچ ولوم/دکمه (تعمیر)",IF(OR(ISNUMBER(SEARCH("کسري قطعات",H393)),ISNUMBER(SEARCH("کسری قطعات",H393))),"کسری قطعات تزئینی (تعویض)",IF(ISNUMBER(SEARCH("پرچ",H393)),"پرچ/بدنه کابین(تعمیر)",IF(OR(ISNUMBER(SEARCH("نشت",H393)),ISNUMBER(SEARCH("آبريزش",H393)),ISNUMBER(SEARCH("آبریزش",H393))),"نشتی آب - محل نامشخص (نیازمند بازدید)",IF(ISNUMBER(SEARCH("درب",H393)),"سایر اجزای درب (بازبینی)",IF(ISNUMBER(SEARCH("ضربه",H393)),"بدنه/کابین - ضربه (بازبینی/تعویض پنل)",IF(ISNUMBER(SEARCH("تراز",H393)),"تراز/لرزش - نصب (رگلاژ پایه)",IF(OR(ISNUMBER(SEARCH("تعویض",H393)),ISNUMBER(SEARCH("تعويض",H393))),"تعویض کامل دستگاه (Replacement)","سایر (نیازمند بررسی دستی)")))))))))))))))))))))))))))))))))))))))))))</f>
        <v>خرابی - شیربرقی (تعویض)</v>
      </c>
      <c r="N393" s="2" t="s">
        <v>1369</v>
      </c>
      <c r="O393" s="2" t="str" cm="1">
        <f t="array" ref="O393">IF(A393="","",IF(SUMPRODUCT(($B$2:$B$965=B393)*($C$2:$C$965=C393)*($D$2:$D$965=D393)*($E$2:$E$965=E393)*($F$2:$F$965=F393)*($G$2:$G$965=G393)*($H$2:$H$965=H393)*($I$2:$I$965=I393)*($J$2:$J$965=J393)*($K$2:$K$965=K393)*($N$2:$N$965=N393))=1,"خیر",IF(SUMPRODUCT(($B$2:B393=B393)*($C$2:C393=C393)*($D$2:D393=D393)*($E$2:E393=E393)*($F$2:F393=F393)*($G$2:G393=G393)*($H$2:H393=H393)*($I$2:I393=I393)*($J$2:J393=J393)*($K$2:K393=K393)*($N$2:N393=N393))=1,"بله-1","بله")))</f>
        <v>خیر</v>
      </c>
      <c r="P393" s="5" t="str" cm="1">
        <f t="array" ref="P393">IF(A393="","",IF(SUMPRODUCT(($F$2:$F$969=F393)*($I$2:$I$969=I393))=1,"خیر",IF(SUMPRODUCT(($F$2:F393=F393)*($I$2:I393=I393))=1,"بله-1","بله")))</f>
        <v>خیر</v>
      </c>
    </row>
    <row r="394" spans="1:16" ht="18.75" x14ac:dyDescent="0.25">
      <c r="A394" s="2" t="s">
        <v>1089</v>
      </c>
      <c r="B394" s="2" t="s">
        <v>1040</v>
      </c>
      <c r="C394" s="2" t="s">
        <v>1041</v>
      </c>
      <c r="D394" s="2" t="s">
        <v>1356</v>
      </c>
      <c r="E394" s="15" t="s">
        <v>1048</v>
      </c>
      <c r="F394" s="2" t="s">
        <v>1090</v>
      </c>
      <c r="G394" s="2" t="s">
        <v>1091</v>
      </c>
      <c r="H394" s="2" t="s">
        <v>139</v>
      </c>
      <c r="I394" s="2" t="s">
        <v>1092</v>
      </c>
      <c r="J394" s="2" t="s">
        <v>391</v>
      </c>
      <c r="K394" s="2"/>
      <c r="L394" s="3" t="str">
        <f>IF(OR(TRIM(I394)="",TRIM(K394)=""),"",IFERROR((VALUE(LEFT(TRIM(I394),4))-VALUE(LEFT(TRIM(K394),4)))*12+VALUE(MID(TRIM(I394),6,2))-VALUE(MID(TRIM(K394),6,2)),""))</f>
        <v/>
      </c>
      <c r="M394" s="2" t="str">
        <f>IF(TRIM(H394)="","",IFERROR(LOOKUP(2,1/(ISNUMBER(SEARCH('منطق دسته‌بندی'!$A$2:$A$187,H394))),'منطق دسته‌بندی'!$B$2:$B$187),"سایر (نیازمند بررسی دستی)"))</f>
        <v>تراز/لرزش - نصب (رگلاژ پایه)</v>
      </c>
      <c r="N394" s="2" t="s">
        <v>24</v>
      </c>
      <c r="O394" s="2" t="str" cm="1">
        <f t="array" ref="O394">IF(A394="","",IF(SUMPRODUCT(($B$2:$B$965=B394)*($C$2:$C$965=C394)*($D$2:$D$965=D394)*($E$2:$E$965=E394)*($F$2:$F$965=F394)*($G$2:$G$965=G394)*($H$2:$H$965=H394)*($I$2:$I$965=I394)*($J$2:$J$965=J394)*($K$2:$K$965=K394)*($N$2:$N$965=N394))=1,"خیر",IF(SUMPRODUCT(($B$2:B394=B394)*($C$2:C394=C394)*($D$2:D394=D394)*($E$2:E394=E394)*($F$2:F394=F394)*($G$2:G394=G394)*($H$2:H394=H394)*($I$2:I394=I394)*($J$2:J394=J394)*($K$2:K394=K394)*($N$2:N394=N394))=1,"بله-1","بله")))</f>
        <v>خیر</v>
      </c>
      <c r="P394" s="5" t="str" cm="1">
        <f t="array" ref="P394">IF(A394="","",IF(SUMPRODUCT(($F$2:$F$969=F394)*($I$2:$I$969=I394))=1,"خیر",IF(SUMPRODUCT(($F$2:F394=F394)*($I$2:I394=I394))=1,"بله-1","بله")))</f>
        <v>خیر</v>
      </c>
    </row>
    <row r="395" spans="1:16" ht="18.75" x14ac:dyDescent="0.25">
      <c r="A395" s="2" t="s">
        <v>1060</v>
      </c>
      <c r="B395" s="2" t="s">
        <v>1040</v>
      </c>
      <c r="C395" s="2" t="s">
        <v>1041</v>
      </c>
      <c r="D395" s="2" t="s">
        <v>1356</v>
      </c>
      <c r="E395" s="2" t="s">
        <v>1048</v>
      </c>
      <c r="F395" s="2" t="s">
        <v>1061</v>
      </c>
      <c r="G395" s="2" t="s">
        <v>1062</v>
      </c>
      <c r="H395" s="2" t="s">
        <v>536</v>
      </c>
      <c r="I395" s="2" t="s">
        <v>1044</v>
      </c>
      <c r="J395" s="2" t="s">
        <v>1063</v>
      </c>
      <c r="K395" s="2" t="s">
        <v>1064</v>
      </c>
      <c r="L395" s="3">
        <f>IF(OR(TRIM(I395)="",TRIM(K395)=""),"",IFERROR((VALUE(LEFT(TRIM(I395),4))-VALUE(LEFT(TRIM(K395),4)))*12+VALUE(MID(TRIM(I395),6,2))-VALUE(MID(TRIM(K395),6,2)),""))</f>
        <v>13</v>
      </c>
      <c r="M395" s="2" t="str">
        <f>IF(TRIM(H395)="","",IFERROR(LOOKUP(2,1/(ISNUMBER(SEARCH('منطق دسته‌بندی'!$A$2:$A$187,H395))),'منطق دسته‌بندی'!$B$2:$B$187),"سایر (نیازمند بررسی دستی)"))</f>
        <v>خرابی - برد الکترونیک (تعویض)</v>
      </c>
      <c r="N395" s="2" t="s">
        <v>1065</v>
      </c>
      <c r="O395" s="2" t="str" cm="1">
        <f t="array" ref="O395">IF(A395="","",IF(SUMPRODUCT(($B$2:$B$965=B395)*($C$2:$C$965=C395)*($D$2:$D$965=D395)*($E$2:$E$965=E395)*($F$2:$F$965=F395)*($G$2:$G$965=G395)*($H$2:$H$965=H395)*($I$2:$I$965=I395)*($J$2:$J$965=J395)*($K$2:$K$965=K395)*($N$2:$N$965=N395))=1,"خیر",IF(SUMPRODUCT(($B$2:B395=B395)*($C$2:C395=C395)*($D$2:D395=D395)*($E$2:E395=E395)*($F$2:F395=F395)*($G$2:G395=G395)*($H$2:H395=H395)*($I$2:I395=I395)*($J$2:J395=J395)*($K$2:K395=K395)*($N$2:N395=N395))=1,"بله-1","بله")))</f>
        <v>خیر</v>
      </c>
      <c r="P395" s="5" t="str" cm="1">
        <f t="array" ref="P395">IF(A395="","",IF(SUMPRODUCT(($F$2:$F$969=F395)*($I$2:$I$969=I395))=1,"خیر",IF(SUMPRODUCT(($F$2:F395=F395)*($I$2:I395=I395))=1,"بله-1","بله")))</f>
        <v>خیر</v>
      </c>
    </row>
    <row r="396" spans="1:16" ht="18.75" x14ac:dyDescent="0.25">
      <c r="A396" s="2" t="s">
        <v>1047</v>
      </c>
      <c r="B396" s="2" t="s">
        <v>1040</v>
      </c>
      <c r="C396" s="2" t="s">
        <v>1041</v>
      </c>
      <c r="D396" s="2" t="s">
        <v>1356</v>
      </c>
      <c r="E396" s="2" t="s">
        <v>1048</v>
      </c>
      <c r="F396" s="2" t="s">
        <v>1049</v>
      </c>
      <c r="G396" s="2" t="s">
        <v>1050</v>
      </c>
      <c r="H396" s="2" t="s">
        <v>1051</v>
      </c>
      <c r="I396" s="2" t="s">
        <v>1044</v>
      </c>
      <c r="J396" s="2" t="s">
        <v>1052</v>
      </c>
      <c r="K396" s="2" t="s">
        <v>1053</v>
      </c>
      <c r="L396" s="3">
        <f>IF(OR(TRIM(I396)="",TRIM(K396)=""),"",IFERROR((VALUE(LEFT(TRIM(I396),4))-VALUE(LEFT(TRIM(K396),4)))*12+VALUE(MID(TRIM(I396),6,2))-VALUE(MID(TRIM(K396),6,2)),""))</f>
        <v>5</v>
      </c>
      <c r="M396" s="2" t="str">
        <f>IF(TRIM(H396)="","",IFERROR(LOOKUP(2,1/(ISNUMBER(SEARCH('منطق دسته‌بندی'!$A$2:$A$187,H396))),'منطق دسته‌بندی'!$B$2:$B$187),"سایر (نیازمند بررسی دستی)"))</f>
        <v>سیم‌کشی/اتصالات (تعمیر/تنظیم)</v>
      </c>
      <c r="N396" s="2" t="s">
        <v>24</v>
      </c>
      <c r="O396" s="2" t="str" cm="1">
        <f t="array" ref="O396">IF(A396="","",IF(SUMPRODUCT(($B$2:$B$965=B396)*($C$2:$C$965=C396)*($D$2:$D$965=D396)*($E$2:$E$965=E396)*($F$2:$F$965=F396)*($G$2:$G$965=G396)*($H$2:$H$965=H396)*($I$2:$I$965=I396)*($J$2:$J$965=J396)*($K$2:$K$965=K396)*($N$2:$N$965=N396))=1,"خیر",IF(SUMPRODUCT(($B$2:B396=B396)*($C$2:C396=C396)*($D$2:D396=D396)*($E$2:E396=E396)*($F$2:F396=F396)*($G$2:G396=G396)*($H$2:H396=H396)*($I$2:I396=I396)*($J$2:J396=J396)*($K$2:K396=K396)*($N$2:N396=N396))=1,"بله-1","بله")))</f>
        <v>خیر</v>
      </c>
      <c r="P396" s="5" t="str" cm="1">
        <f t="array" ref="P396">IF(A396="","",IF(SUMPRODUCT(($F$2:$F$969=F396)*($I$2:$I$969=I396))=1,"خیر",IF(SUMPRODUCT(($F$2:F396=F396)*($I$2:I396=I396))=1,"بله-1","بله")))</f>
        <v>خیر</v>
      </c>
    </row>
    <row r="397" spans="1:16" ht="37.5" x14ac:dyDescent="0.25">
      <c r="A397" s="2" t="s">
        <v>88</v>
      </c>
      <c r="B397" s="2" t="s">
        <v>16</v>
      </c>
      <c r="C397" s="2" t="s">
        <v>17</v>
      </c>
      <c r="D397" s="2" t="s">
        <v>1356</v>
      </c>
      <c r="E397" s="2" t="s">
        <v>34</v>
      </c>
      <c r="F397" s="2" t="s">
        <v>89</v>
      </c>
      <c r="G397" s="2" t="s">
        <v>90</v>
      </c>
      <c r="H397" s="2" t="s">
        <v>28</v>
      </c>
      <c r="I397" s="2" t="s">
        <v>47</v>
      </c>
      <c r="J397" s="2" t="s">
        <v>91</v>
      </c>
      <c r="K397" s="2" t="s">
        <v>63</v>
      </c>
      <c r="L397" s="3">
        <f>IF(OR(TRIM(I397)="",TRIM(K397)=""),"",IFERROR((VALUE(LEFT(TRIM(I397),4))-VALUE(LEFT(TRIM(K397),4)))*12+VALUE(MID(TRIM(I397),6,2))-VALUE(MID(TRIM(K397),6,2)),""))</f>
        <v>17</v>
      </c>
      <c r="M397" s="2" t="str">
        <f>IF(TRIM(H397)="","",IFERROR(LOOKUP(2,1/(ISNUMBER(SEARCH('منطق دسته‌بندی'!$A$2:$A$187,H397))),'منطق دسته‌بندی'!$B$2:$B$187),"سایر (نیازمند بررسی دستی)"))</f>
        <v>خرابی - بلبرینگ (تعویض)</v>
      </c>
      <c r="N397" s="2" t="s">
        <v>32</v>
      </c>
      <c r="O397" s="2" t="str" cm="1">
        <f t="array" ref="O397">IF(A397="","",IF(SUMPRODUCT(($B$2:$B$965=B397)*($C$2:$C$965=C397)*($D$2:$D$965=D397)*($E$2:$E$965=E397)*($F$2:$F$965=F397)*($G$2:$G$965=G397)*($H$2:$H$965=H397)*($I$2:$I$965=I397)*($J$2:$J$965=J397)*($K$2:$K$965=K397)*($N$2:$N$965=N397))=1,"خیر",IF(SUMPRODUCT(($B$2:B397=B397)*($C$2:C397=C397)*($D$2:D397=D397)*($E$2:E397=E397)*($F$2:F397=F397)*($G$2:G397=G397)*($H$2:H397=H397)*($I$2:I397=I397)*($J$2:J397=J397)*($K$2:K397=K397)*($N$2:N397=N397))=1,"بله-1","بله")))</f>
        <v>خیر</v>
      </c>
      <c r="P397" s="5" t="str" cm="1">
        <f t="array" ref="P397">IF(A397="","",IF(SUMPRODUCT(($F$2:$F$969=F397)*($I$2:$I$969=I397))=1,"خیر",IF(SUMPRODUCT(($F$2:F397=F397)*($I$2:I397=I397))=1,"بله-1","بله")))</f>
        <v>خیر</v>
      </c>
    </row>
    <row r="398" spans="1:16" ht="18.75" x14ac:dyDescent="0.25">
      <c r="A398" s="2" t="s">
        <v>451</v>
      </c>
      <c r="B398" s="2" t="s">
        <v>16</v>
      </c>
      <c r="C398" s="2" t="s">
        <v>17</v>
      </c>
      <c r="D398" s="2" t="s">
        <v>1356</v>
      </c>
      <c r="E398" s="2" t="s">
        <v>34</v>
      </c>
      <c r="F398" s="2" t="s">
        <v>452</v>
      </c>
      <c r="G398" s="2" t="s">
        <v>453</v>
      </c>
      <c r="H398" s="2" t="s">
        <v>149</v>
      </c>
      <c r="I398" s="2" t="s">
        <v>435</v>
      </c>
      <c r="J398" s="2" t="s">
        <v>371</v>
      </c>
      <c r="K398" s="2" t="s">
        <v>365</v>
      </c>
      <c r="L398" s="3">
        <f>IF(OR(TRIM(I398)="",TRIM(K398)=""),"",IFERROR((VALUE(LEFT(TRIM(I398),4))-VALUE(LEFT(TRIM(K398),4)))*12+VALUE(MID(TRIM(I398),6,2))-VALUE(MID(TRIM(K398),6,2)),""))</f>
        <v>6</v>
      </c>
      <c r="M398" s="2" t="str">
        <f>IF(TRIM(H398)="","",IFERROR(LOOKUP(2,1/(ISNUMBER(SEARCH('منطق دسته‌بندی'!$A$2:$A$187,H398))),'منطق دسته‌بندی'!$B$2:$B$187),"سایر (نیازمند بررسی دستی)"))</f>
        <v>خرابی - شیربرقی (تعویض)</v>
      </c>
      <c r="N398" s="2" t="s">
        <v>454</v>
      </c>
      <c r="O398" s="2" t="str" cm="1">
        <f t="array" ref="O398">IF(A398="","",IF(SUMPRODUCT(($B$2:$B$965=B398)*($C$2:$C$965=C398)*($D$2:$D$965=D398)*($E$2:$E$965=E398)*($F$2:$F$965=F398)*($G$2:$G$965=G398)*($H$2:$H$965=H398)*($I$2:$I$965=I398)*($J$2:$J$965=J398)*($K$2:$K$965=K398)*($N$2:$N$965=N398))=1,"خیر",IF(SUMPRODUCT(($B$2:B398=B398)*($C$2:C398=C398)*($D$2:D398=D398)*($E$2:E398=E398)*($F$2:F398=F398)*($G$2:G398=G398)*($H$2:H398=H398)*($I$2:I398=I398)*($J$2:J398=J398)*($K$2:K398=K398)*($N$2:N398=N398))=1,"بله-1","بله")))</f>
        <v>خیر</v>
      </c>
      <c r="P398" s="5" t="str" cm="1">
        <f t="array" ref="P398">IF(A398="","",IF(SUMPRODUCT(($F$2:$F$969=F398)*($I$2:$I$969=I398))=1,"خیر",IF(SUMPRODUCT(($F$2:F398=F398)*($I$2:I398=I398))=1,"بله-1","بله")))</f>
        <v>خیر</v>
      </c>
    </row>
    <row r="399" spans="1:16" ht="18.75" x14ac:dyDescent="0.25">
      <c r="A399" s="2" t="s">
        <v>33</v>
      </c>
      <c r="B399" s="2" t="s">
        <v>16</v>
      </c>
      <c r="C399" s="2" t="s">
        <v>17</v>
      </c>
      <c r="D399" s="2" t="s">
        <v>1356</v>
      </c>
      <c r="E399" s="2" t="s">
        <v>34</v>
      </c>
      <c r="F399" s="2" t="s">
        <v>35</v>
      </c>
      <c r="G399" s="2" t="s">
        <v>36</v>
      </c>
      <c r="H399" s="2" t="s">
        <v>37</v>
      </c>
      <c r="I399" s="2" t="s">
        <v>29</v>
      </c>
      <c r="J399" s="2" t="s">
        <v>38</v>
      </c>
      <c r="K399" s="2" t="s">
        <v>39</v>
      </c>
      <c r="L399" s="3">
        <f>IF(OR(TRIM(I399)="",TRIM(K399)=""),"",IFERROR((VALUE(LEFT(TRIM(I399),4))-VALUE(LEFT(TRIM(K399),4)))*12+VALUE(MID(TRIM(I399),6,2))-VALUE(MID(TRIM(K399),6,2)),""))</f>
        <v>6</v>
      </c>
      <c r="M399" s="2" t="str">
        <f>IF(TRIM(H399)="","",IFERROR(LOOKUP(2,1/(ISNUMBER(SEARCH('منطق دسته‌بندی'!$A$2:$A$187,H399))),'منطق دسته‌بندی'!$B$2:$B$187),"سایر (نیازمند بررسی دستی)"))</f>
        <v>خرابی - برد الکترونیک (تعویض)</v>
      </c>
      <c r="N399" s="2" t="s">
        <v>40</v>
      </c>
      <c r="O399" s="2" t="str" cm="1">
        <f t="array" ref="O399">IF(A399="","",IF(SUMPRODUCT(($B$2:$B$965=B399)*($C$2:$C$965=C399)*($D$2:$D$965=D399)*($E$2:$E$965=E399)*($F$2:$F$965=F399)*($G$2:$G$965=G399)*($H$2:$H$965=H399)*($I$2:$I$965=I399)*($J$2:$J$965=J399)*($K$2:$K$965=K399)*($N$2:$N$965=N399))=1,"خیر",IF(SUMPRODUCT(($B$2:B399=B399)*($C$2:C399=C399)*($D$2:D399=D399)*($E$2:E399=E399)*($F$2:F399=F399)*($G$2:G399=G399)*($H$2:H399=H399)*($I$2:I399=I399)*($J$2:J399=J399)*($K$2:K399=K399)*($N$2:N399=N399))=1,"بله-1","بله")))</f>
        <v>خیر</v>
      </c>
      <c r="P399" s="5" t="str" cm="1">
        <f t="array" ref="P399">IF(A399="","",IF(SUMPRODUCT(($F$2:$F$969=F399)*($I$2:$I$969=I399))=1,"خیر",IF(SUMPRODUCT(($F$2:F399=F399)*($I$2:I399=I399))=1,"بله-1","بله")))</f>
        <v>خیر</v>
      </c>
    </row>
    <row r="400" spans="1:16" ht="18.75" x14ac:dyDescent="0.25">
      <c r="A400" s="2">
        <v>130011444</v>
      </c>
      <c r="B400" s="2" t="s">
        <v>1950</v>
      </c>
      <c r="C400" s="2" t="s">
        <v>1951</v>
      </c>
      <c r="D400" s="2" t="s">
        <v>1356</v>
      </c>
      <c r="E400" s="2" t="s">
        <v>1357</v>
      </c>
      <c r="F400" s="2" t="s">
        <v>1524</v>
      </c>
      <c r="G400" s="2" t="s">
        <v>1525</v>
      </c>
      <c r="H400" s="2" t="s">
        <v>1526</v>
      </c>
      <c r="I400" s="2" t="s">
        <v>1360</v>
      </c>
      <c r="J400" s="2" t="s">
        <v>253</v>
      </c>
      <c r="K400" s="2" t="s">
        <v>315</v>
      </c>
      <c r="L400" s="3">
        <f>IF(OR(TRIM(I400)="",TRIM(K400)=""),"",IFERROR((VALUE(LEFT(TRIM(I400),4))-VALUE(LEFT(TRIM(K400),4)))*12+VALUE(MID(TRIM(I400),6,2))-VALUE(MID(TRIM(K400),6,2)),""))</f>
        <v>14</v>
      </c>
      <c r="M400" s="2" t="str">
        <f>IF(TRIM(H400)="","",IFERROR(LOOKUP(2,1/(ISNUMBER(SEARCH('منطق دسته‌بندی'!$A$2:$A$187,H400))),'منطق دسته‌بندی'!$B$2:$B$187),"سایر (نیازمند بررسی دستی)"))</f>
        <v>تراز/لرزش - نصب (رگلاژ پایه)</v>
      </c>
      <c r="N400" s="2" t="s">
        <v>1381</v>
      </c>
      <c r="O400" s="2" t="str" cm="1">
        <f t="array" ref="O400">IF(A400="","",IF(SUMPRODUCT(($B$2:$B$965=B400)*($C$2:$C$965=C400)*($D$2:$D$965=D400)*($E$2:$E$965=E400)*($F$2:$F$965=F400)*($G$2:$G$965=G400)*($H$2:$H$965=H400)*($I$2:$I$965=I400)*($J$2:$J$965=J400)*($K$2:$K$965=K400)*($N$2:$N$965=N400))=1,"خیر",IF(SUMPRODUCT(($B$2:B400=B400)*($C$2:C400=C400)*($D$2:D400=D400)*($E$2:E400=E400)*($F$2:F400=F400)*($G$2:G400=G400)*($H$2:H400=H400)*($I$2:I400=I400)*($J$2:J400=J400)*($K$2:K400=K400)*($N$2:N400=N400))=1,"بله-1","بله")))</f>
        <v>خیر</v>
      </c>
      <c r="P400" s="5" t="str" cm="1">
        <f t="array" ref="P400">IF(A400="","",IF(SUMPRODUCT(($F$2:$F$969=F400)*($I$2:$I$969=I400))=1,"خیر",IF(SUMPRODUCT(($F$2:F400=F400)*($I$2:I400=I400))=1,"بله-1","بله")))</f>
        <v>خیر</v>
      </c>
    </row>
    <row r="401" spans="1:16" ht="18.75" x14ac:dyDescent="0.25">
      <c r="A401" s="2" t="s">
        <v>290</v>
      </c>
      <c r="B401" s="2" t="s">
        <v>16</v>
      </c>
      <c r="C401" s="2" t="s">
        <v>17</v>
      </c>
      <c r="D401" s="2" t="s">
        <v>1356</v>
      </c>
      <c r="E401" s="2" t="s">
        <v>34</v>
      </c>
      <c r="F401" s="2" t="s">
        <v>291</v>
      </c>
      <c r="G401" s="2" t="s">
        <v>292</v>
      </c>
      <c r="H401" s="2" t="s">
        <v>293</v>
      </c>
      <c r="I401" s="2" t="s">
        <v>276</v>
      </c>
      <c r="J401" s="2" t="s">
        <v>294</v>
      </c>
      <c r="K401" s="2" t="s">
        <v>294</v>
      </c>
      <c r="L401" s="3">
        <f>IF(OR(TRIM(I401)="",TRIM(K401)=""),"",IFERROR((VALUE(LEFT(TRIM(I401),4))-VALUE(LEFT(TRIM(K401),4)))*12+VALUE(MID(TRIM(I401),6,2))-VALUE(MID(TRIM(K401),6,2)),""))</f>
        <v>15</v>
      </c>
      <c r="M401" s="2" t="str">
        <f>IF(TRIM(H401)="","",IFERROR(LOOKUP(2,1/(ISNUMBER(SEARCH('منطق دسته‌بندی'!$A$2:$A$187,H401))),'منطق دسته‌بندی'!$B$2:$B$187),"سایر (نیازمند بررسی دستی)"))</f>
        <v>بدنه/کابین - ضربه (بازبینی/تعویض پنل)</v>
      </c>
      <c r="N401" s="2" t="s">
        <v>24</v>
      </c>
      <c r="O401" s="2" t="str" cm="1">
        <f t="array" ref="O401">IF(A401="","",IF(SUMPRODUCT(($B$2:$B$965=B401)*($C$2:$C$965=C401)*($D$2:$D$965=D401)*($E$2:$E$965=E401)*($F$2:$F$965=F401)*($G$2:$G$965=G401)*($H$2:$H$965=H401)*($I$2:$I$965=I401)*($J$2:$J$965=J401)*($K$2:$K$965=K401)*($N$2:$N$965=N401))=1,"خیر",IF(SUMPRODUCT(($B$2:B401=B401)*($C$2:C401=C401)*($D$2:D401=D401)*($E$2:E401=E401)*($F$2:F401=F401)*($G$2:G401=G401)*($H$2:H401=H401)*($I$2:I401=I401)*($J$2:J401=J401)*($K$2:K401=K401)*($N$2:N401=N401))=1,"بله-1","بله")))</f>
        <v>خیر</v>
      </c>
      <c r="P401" s="5" t="str" cm="1">
        <f t="array" ref="P401">IF(A401="","",IF(SUMPRODUCT(($F$2:$F$969=F401)*($I$2:$I$969=I401))=1,"خیر",IF(SUMPRODUCT(($F$2:F401=F401)*($I$2:I401=I401))=1,"بله-1","بله")))</f>
        <v>خیر</v>
      </c>
    </row>
    <row r="402" spans="1:16" ht="18.75" x14ac:dyDescent="0.25">
      <c r="A402" s="2" t="s">
        <v>780</v>
      </c>
      <c r="B402" s="2" t="s">
        <v>632</v>
      </c>
      <c r="C402" s="2" t="s">
        <v>633</v>
      </c>
      <c r="D402" s="2" t="s">
        <v>1356</v>
      </c>
      <c r="E402" s="2" t="s">
        <v>34</v>
      </c>
      <c r="F402" s="2" t="s">
        <v>781</v>
      </c>
      <c r="G402" s="2" t="s">
        <v>726</v>
      </c>
      <c r="H402" s="2" t="s">
        <v>782</v>
      </c>
      <c r="I402" s="2" t="s">
        <v>773</v>
      </c>
      <c r="J402" s="2" t="s">
        <v>711</v>
      </c>
      <c r="K402" s="2" t="s">
        <v>783</v>
      </c>
      <c r="L402" s="3">
        <f>IF(OR(TRIM(I402)="",TRIM(K402)=""),"",IFERROR((VALUE(LEFT(TRIM(I402),4))-VALUE(LEFT(TRIM(K402),4)))*12+VALUE(MID(TRIM(I402),6,2))-VALUE(MID(TRIM(K402),6,2)),""))</f>
        <v>15</v>
      </c>
      <c r="M402" s="2" t="str">
        <f>IF(TRIM(H402)="","",IFERROR(LOOKUP(2,1/(ISNUMBER(SEARCH('منطق دسته‌بندی'!$A$2:$A$187,H402))),'منطق دسته‌بندی'!$B$2:$B$187),"سایر (نیازمند بررسی دستی)"))</f>
        <v>خرابی - تسمه (تعویض)</v>
      </c>
      <c r="N402" s="2" t="s">
        <v>784</v>
      </c>
      <c r="O402" s="2" t="str" cm="1">
        <f t="array" ref="O402">IF(A402="","",IF(SUMPRODUCT(($B$2:$B$965=B402)*($C$2:$C$965=C402)*($D$2:$D$965=D402)*($E$2:$E$965=E402)*($F$2:$F$965=F402)*($G$2:$G$965=G402)*($H$2:$H$965=H402)*($I$2:$I$965=I402)*($J$2:$J$965=J402)*($K$2:$K$965=K402)*($N$2:$N$965=N402))=1,"خیر",IF(SUMPRODUCT(($B$2:B402=B402)*($C$2:C402=C402)*($D$2:D402=D402)*($E$2:E402=E402)*($F$2:F402=F402)*($G$2:G402=G402)*($H$2:H402=H402)*($I$2:I402=I402)*($J$2:J402=J402)*($K$2:K402=K402)*($N$2:N402=N402))=1,"بله-1","بله")))</f>
        <v>خیر</v>
      </c>
      <c r="P402" s="5" t="str" cm="1">
        <f t="array" ref="P402">IF(A402="","",IF(SUMPRODUCT(($F$2:$F$969=F402)*($I$2:$I$969=I402))=1,"خیر",IF(SUMPRODUCT(($F$2:F402=F402)*($I$2:I402=I402))=1,"بله-1","بله")))</f>
        <v>خیر</v>
      </c>
    </row>
    <row r="403" spans="1:16" ht="18.75" x14ac:dyDescent="0.25">
      <c r="A403" s="2">
        <v>510025993</v>
      </c>
      <c r="B403" s="2" t="s">
        <v>1950</v>
      </c>
      <c r="C403" s="2" t="s">
        <v>1951</v>
      </c>
      <c r="D403" s="2" t="s">
        <v>1356</v>
      </c>
      <c r="E403" s="2" t="s">
        <v>1357</v>
      </c>
      <c r="F403" s="2" t="s">
        <v>1518</v>
      </c>
      <c r="G403" s="2" t="s">
        <v>1519</v>
      </c>
      <c r="H403" s="11" t="s">
        <v>162</v>
      </c>
      <c r="I403" s="2" t="s">
        <v>1360</v>
      </c>
      <c r="J403" s="2" t="s">
        <v>1520</v>
      </c>
      <c r="K403" s="2" t="s">
        <v>239</v>
      </c>
      <c r="L403" s="3">
        <f>IF(OR(TRIM(I403)="",TRIM(K403)=""),"",IFERROR((VALUE(LEFT(TRIM(I403),4))-VALUE(LEFT(TRIM(K403),4)))*12+VALUE(MID(TRIM(I403),6,2))-VALUE(MID(TRIM(K403),6,2)),""))</f>
        <v>5</v>
      </c>
      <c r="M403" s="2" t="str">
        <f>IF(TRIM(H403)="","",IFERROR(LOOKUP(2,1/(ISNUMBER(SEARCH('منطق دسته‌بندی'!$A$2:$A$187,H403))),'منطق دسته‌بندی'!$B$2:$B$187),"سایر (نیازمند بررسی دستی)"))</f>
        <v>خرابی - پمپ تخلیه (تعویض)</v>
      </c>
      <c r="N403" s="2" t="s">
        <v>517</v>
      </c>
      <c r="O403" s="2" t="str" cm="1">
        <f t="array" ref="O403">IF(A403="","",IF(SUMPRODUCT(($B$2:$B$965=B403)*($C$2:$C$965=C403)*($D$2:$D$965=D403)*($E$2:$E$965=E403)*($F$2:$F$965=F403)*($G$2:$G$965=G403)*($H$2:$H$965=H403)*($I$2:$I$965=I403)*($J$2:$J$965=J403)*($K$2:$K$965=K403)*($N$2:$N$965=N403))=1,"خیر",IF(SUMPRODUCT(($B$2:B403=B403)*($C$2:C403=C403)*($D$2:D403=D403)*($E$2:E403=E403)*($F$2:F403=F403)*($G$2:G403=G403)*($H$2:H403=H403)*($I$2:I403=I403)*($J$2:J403=J403)*($K$2:K403=K403)*($N$2:N403=N403))=1,"بله-1","بله")))</f>
        <v>خیر</v>
      </c>
      <c r="P403" s="5" t="str" cm="1">
        <f t="array" ref="P403">IF(A403="","",IF(SUMPRODUCT(($F$2:$F$969=F403)*($I$2:$I$969=I403))=1,"خیر",IF(SUMPRODUCT(($F$2:F403=F403)*($I$2:I403=I403))=1,"بله-1","بله")))</f>
        <v>خیر</v>
      </c>
    </row>
    <row r="404" spans="1:16" ht="18.75" x14ac:dyDescent="0.25">
      <c r="A404" s="2">
        <v>130010799</v>
      </c>
      <c r="B404" s="2" t="s">
        <v>1950</v>
      </c>
      <c r="C404" s="2" t="s">
        <v>1951</v>
      </c>
      <c r="D404" s="2" t="s">
        <v>1356</v>
      </c>
      <c r="E404" s="2" t="s">
        <v>1362</v>
      </c>
      <c r="F404" s="2" t="s">
        <v>1363</v>
      </c>
      <c r="G404" s="2" t="s">
        <v>1364</v>
      </c>
      <c r="H404" s="2" t="s">
        <v>1365</v>
      </c>
      <c r="I404" s="2" t="s">
        <v>1366</v>
      </c>
      <c r="J404" s="2" t="s">
        <v>1367</v>
      </c>
      <c r="K404" s="2" t="s">
        <v>1368</v>
      </c>
      <c r="L404" s="3">
        <f>IF(OR(TRIM(I404)="",TRIM(K404)=""),"",IFERROR((VALUE(LEFT(TRIM(I404),4))-VALUE(LEFT(TRIM(K404),4)))*12+VALUE(MID(TRIM(I404),6,2))-VALUE(MID(TRIM(K404),6,2)),""))</f>
        <v>24</v>
      </c>
      <c r="M404" s="2" t="str">
        <f>IF(TRIM(H404)="","",IFERROR(LOOKUP(2,1/(ISNUMBER(SEARCH('منطق دسته‌بندی'!$A$2:$A$187,H404))),'منطق دسته‌بندی'!$B$2:$B$187),"سایر (نیازمند بررسی دستی)"))</f>
        <v>خرابی - شیربرقی (تعویض)</v>
      </c>
      <c r="N404" s="2" t="s">
        <v>1369</v>
      </c>
      <c r="O404" s="2" t="str" cm="1">
        <f t="array" ref="O404">IF(A404="","",IF(SUMPRODUCT(($B$2:$B$965=B404)*($C$2:$C$965=C404)*($D$2:$D$965=D404)*($E$2:$E$965=E404)*($F$2:$F$965=F404)*($G$2:$G$965=G404)*($H$2:$H$965=H404)*($I$2:$I$965=I404)*($J$2:$J$965=J404)*($K$2:$K$965=K404)*($N$2:$N$965=N404))=1,"خیر",IF(SUMPRODUCT(($B$2:B404=B404)*($C$2:C404=C404)*($D$2:D404=D404)*($E$2:E404=E404)*($F$2:F404=F404)*($G$2:G404=G404)*($H$2:H404=H404)*($I$2:I404=I404)*($J$2:J404=J404)*($K$2:K404=K404)*($N$2:N404=N404))=1,"بله-1","بله")))</f>
        <v>خیر</v>
      </c>
      <c r="P404" s="5" t="str" cm="1">
        <f t="array" ref="P404">IF(A404="","",IF(SUMPRODUCT(($F$2:$F$969=F404)*($I$2:$I$969=I404))=1,"خیر",IF(SUMPRODUCT(($F$2:F404=F404)*($I$2:I404=I404))=1,"بله-1","بله")))</f>
        <v>خیر</v>
      </c>
    </row>
    <row r="405" spans="1:16" ht="18.75" x14ac:dyDescent="0.25">
      <c r="A405" s="2" t="s">
        <v>712</v>
      </c>
      <c r="B405" s="2" t="s">
        <v>632</v>
      </c>
      <c r="C405" s="2" t="s">
        <v>633</v>
      </c>
      <c r="D405" s="2" t="s">
        <v>1356</v>
      </c>
      <c r="E405" s="2" t="s">
        <v>34</v>
      </c>
      <c r="F405" s="2" t="s">
        <v>713</v>
      </c>
      <c r="G405" s="2" t="s">
        <v>714</v>
      </c>
      <c r="H405" s="2" t="s">
        <v>487</v>
      </c>
      <c r="I405" s="2" t="s">
        <v>710</v>
      </c>
      <c r="J405" s="2" t="s">
        <v>715</v>
      </c>
      <c r="K405" s="2" t="s">
        <v>716</v>
      </c>
      <c r="L405" s="3">
        <f>IF(OR(TRIM(I405)="",TRIM(K405)=""),"",IFERROR((VALUE(LEFT(TRIM(I405),4))-VALUE(LEFT(TRIM(K405),4)))*12+VALUE(MID(TRIM(I405),6,2))-VALUE(MID(TRIM(K405),6,2)),""))</f>
        <v>15</v>
      </c>
      <c r="M405" s="2" t="str">
        <f>IF(TRIM(H405)="","",IFERROR(LOOKUP(2,1/(ISNUMBER(SEARCH('منطق دسته‌بندی'!$A$2:$A$187,H405))),'منطق دسته‌بندی'!$B$2:$B$187),"سایر (نیازمند بررسی دستی)"))</f>
        <v>نشتی - شیلنگ (تعمیر/آب‌بندی)</v>
      </c>
      <c r="N405" s="2" t="s">
        <v>24</v>
      </c>
      <c r="O405" s="2" t="str" cm="1">
        <f t="array" ref="O405">IF(A405="","",IF(SUMPRODUCT(($B$2:$B$965=B405)*($C$2:$C$965=C405)*($D$2:$D$965=D405)*($E$2:$E$965=E405)*($F$2:$F$965=F405)*($G$2:$G$965=G405)*($H$2:$H$965=H405)*($I$2:$I$965=I405)*($J$2:$J$965=J405)*($K$2:$K$965=K405)*($N$2:$N$965=N405))=1,"خیر",IF(SUMPRODUCT(($B$2:B405=B405)*($C$2:C405=C405)*($D$2:D405=D405)*($E$2:E405=E405)*($F$2:F405=F405)*($G$2:G405=G405)*($H$2:H405=H405)*($I$2:I405=I405)*($J$2:J405=J405)*($K$2:K405=K405)*($N$2:N405=N405))=1,"بله-1","بله")))</f>
        <v>خیر</v>
      </c>
      <c r="P405" s="5" t="str" cm="1">
        <f t="array" ref="P405">IF(A405="","",IF(SUMPRODUCT(($F$2:$F$969=F405)*($I$2:$I$969=I405))=1,"خیر",IF(SUMPRODUCT(($F$2:F405=F405)*($I$2:I405=I405))=1,"بله-1","بله")))</f>
        <v>خیر</v>
      </c>
    </row>
    <row r="406" spans="1:16" ht="18.75" x14ac:dyDescent="0.25">
      <c r="A406" s="2">
        <v>210023797</v>
      </c>
      <c r="B406" s="2" t="s">
        <v>1950</v>
      </c>
      <c r="C406" s="2" t="s">
        <v>1951</v>
      </c>
      <c r="D406" s="2" t="s">
        <v>1356</v>
      </c>
      <c r="E406" s="2" t="s">
        <v>1357</v>
      </c>
      <c r="F406" s="2" t="s">
        <v>1358</v>
      </c>
      <c r="G406" s="2" t="s">
        <v>1359</v>
      </c>
      <c r="H406" s="2" t="s">
        <v>2024</v>
      </c>
      <c r="I406" s="2" t="s">
        <v>1360</v>
      </c>
      <c r="J406" s="2" t="s">
        <v>576</v>
      </c>
      <c r="K406" s="2" t="s">
        <v>741</v>
      </c>
      <c r="L406" s="3">
        <f>IF(OR(TRIM(I406)="",TRIM(K406)=""),"",IFERROR((VALUE(LEFT(TRIM(I406),4))-VALUE(LEFT(TRIM(K406),4)))*12+VALUE(MID(TRIM(I406),6,2))-VALUE(MID(TRIM(K406),6,2)),""))</f>
        <v>23</v>
      </c>
      <c r="M406" s="2" t="str">
        <f>IF(TRIM(H406)="","",IFERROR(LOOKUP(2,1/(ISNUMBER(SEARCH('منطق دسته‌بندی'!$A$2:$A$187,H406))),'منطق دسته‌بندی'!$B$2:$B$187),"سایر (نیازمند بررسی دستی)"))</f>
        <v>مکانیزم درب - زبانه (تعویض)</v>
      </c>
      <c r="N406" s="2" t="s">
        <v>1361</v>
      </c>
      <c r="O406" s="2" t="str" cm="1">
        <f t="array" ref="O406">IF(A406="","",IF(SUMPRODUCT(($B$2:$B$965=B406)*($C$2:$C$965=C406)*($D$2:$D$965=D406)*($E$2:$E$965=E406)*($F$2:$F$965=F406)*($G$2:$G$965=G406)*($H$2:$H$965=H406)*($I$2:$I$965=I406)*($J$2:$J$965=J406)*($K$2:$K$965=K406)*($N$2:$N$965=N406))=1,"خیر",IF(SUMPRODUCT(($B$2:B406=B406)*($C$2:C406=C406)*($D$2:D406=D406)*($E$2:E406=E406)*($F$2:F406=F406)*($G$2:G406=G406)*($H$2:H406=H406)*($I$2:I406=I406)*($J$2:J406=J406)*($K$2:K406=K406)*($N$2:N406=N406))=1,"بله-1","بله")))</f>
        <v>خیر</v>
      </c>
      <c r="P406" s="5" t="str" cm="1">
        <f t="array" ref="P406">IF(A406="","",IF(SUMPRODUCT(($F$2:$F$969=F406)*($I$2:$I$969=I406))=1,"خیر",IF(SUMPRODUCT(($F$2:F406=F406)*($I$2:I406=I406))=1,"بله-1","بله")))</f>
        <v>خیر</v>
      </c>
    </row>
    <row r="407" spans="1:16" ht="37.5" x14ac:dyDescent="0.25">
      <c r="A407" s="2" t="s">
        <v>688</v>
      </c>
      <c r="B407" s="2" t="s">
        <v>632</v>
      </c>
      <c r="C407" s="2" t="s">
        <v>633</v>
      </c>
      <c r="D407" s="2" t="s">
        <v>1356</v>
      </c>
      <c r="E407" s="2" t="s">
        <v>34</v>
      </c>
      <c r="F407" s="2" t="s">
        <v>689</v>
      </c>
      <c r="G407" s="2" t="s">
        <v>690</v>
      </c>
      <c r="H407" s="2" t="s">
        <v>139</v>
      </c>
      <c r="I407" s="2" t="s">
        <v>691</v>
      </c>
      <c r="J407" s="2" t="s">
        <v>576</v>
      </c>
      <c r="K407" s="2" t="s">
        <v>692</v>
      </c>
      <c r="L407" s="3">
        <f>IF(OR(TRIM(I407)="",TRIM(K407)=""),"",IFERROR((VALUE(LEFT(TRIM(I407),4))-VALUE(LEFT(TRIM(K407),4)))*12+VALUE(MID(TRIM(I407),6,2))-VALUE(MID(TRIM(K407),6,2)),""))</f>
        <v>11</v>
      </c>
      <c r="M407" s="2" t="str">
        <f>IF(TRIM(H407)="","",IFERROR(LOOKUP(2,1/(ISNUMBER(SEARCH('منطق دسته‌بندی'!$A$2:$A$187,H407))),'منطق دسته‌بندی'!$B$2:$B$187),"سایر (نیازمند بررسی دستی)"))</f>
        <v>تراز/لرزش - نصب (رگلاژ پایه)</v>
      </c>
      <c r="N407" s="2" t="s">
        <v>158</v>
      </c>
      <c r="O407" s="2" t="str" cm="1">
        <f t="array" ref="O407">IF(A407="","",IF(SUMPRODUCT(($B$2:$B$965=B407)*($C$2:$C$965=C407)*($D$2:$D$965=D407)*($E$2:$E$965=E407)*($F$2:$F$965=F407)*($G$2:$G$965=G407)*($H$2:$H$965=H407)*($I$2:$I$965=I407)*($J$2:$J$965=J407)*($K$2:$K$965=K407)*($N$2:$N$965=N407))=1,"خیر",IF(SUMPRODUCT(($B$2:B407=B407)*($C$2:C407=C407)*($D$2:D407=D407)*($E$2:E407=E407)*($F$2:F407=F407)*($G$2:G407=G407)*($H$2:H407=H407)*($I$2:I407=I407)*($J$2:J407=J407)*($K$2:K407=K407)*($N$2:N407=N407))=1,"بله-1","بله")))</f>
        <v>خیر</v>
      </c>
      <c r="P407" s="5" t="str" cm="1">
        <f t="array" ref="P407">IF(A407="","",IF(SUMPRODUCT(($F$2:$F$969=F407)*($I$2:$I$969=I407))=1,"خیر",IF(SUMPRODUCT(($F$2:F407=F407)*($I$2:I407=I407))=1,"بله-1","بله")))</f>
        <v>خیر</v>
      </c>
    </row>
    <row r="408" spans="1:16" ht="18.75" x14ac:dyDescent="0.25">
      <c r="A408" s="2" t="s">
        <v>490</v>
      </c>
      <c r="B408" s="2" t="s">
        <v>16</v>
      </c>
      <c r="C408" s="2" t="s">
        <v>17</v>
      </c>
      <c r="D408" s="2" t="s">
        <v>1356</v>
      </c>
      <c r="E408" s="2" t="s">
        <v>491</v>
      </c>
      <c r="F408" s="2" t="s">
        <v>492</v>
      </c>
      <c r="G408" s="2" t="s">
        <v>493</v>
      </c>
      <c r="H408" s="2" t="s">
        <v>494</v>
      </c>
      <c r="I408" s="2" t="s">
        <v>495</v>
      </c>
      <c r="J408" s="2" t="s">
        <v>396</v>
      </c>
      <c r="K408" s="2" t="s">
        <v>97</v>
      </c>
      <c r="L408" s="3">
        <f>IF(OR(TRIM(I408)="",TRIM(K408)=""),"",IFERROR((VALUE(LEFT(TRIM(I408),4))-VALUE(LEFT(TRIM(K408),4)))*12+VALUE(MID(TRIM(I408),6,2))-VALUE(MID(TRIM(K408),6,2)),""))</f>
        <v>2</v>
      </c>
      <c r="M408" s="2" t="str">
        <f>IF(TRIM(H408)="","",IFERROR(LOOKUP(2,1/(ISNUMBER(SEARCH('منطق دسته‌بندی'!$A$2:$A$187,H408))),'منطق دسته‌بندی'!$B$2:$B$187),"سایر (نیازمند بررسی دستی)"))</f>
        <v>زنگ‌زدگی بدنه/قطعه (تعویض)</v>
      </c>
      <c r="N408" s="2" t="s">
        <v>494</v>
      </c>
      <c r="O408" s="2" t="str" cm="1">
        <f t="array" ref="O408">IF(A408="","",IF(SUMPRODUCT(($B$2:$B$965=B408)*($C$2:$C$965=C408)*($D$2:$D$965=D408)*($E$2:$E$965=E408)*($F$2:$F$965=F408)*($G$2:$G$965=G408)*($H$2:$H$965=H408)*($I$2:$I$965=I408)*($J$2:$J$965=J408)*($K$2:$K$965=K408)*($N$2:$N$965=N408))=1,"خیر",IF(SUMPRODUCT(($B$2:B408=B408)*($C$2:C408=C408)*($D$2:D408=D408)*($E$2:E408=E408)*($F$2:F408=F408)*($G$2:G408=G408)*($H$2:H408=H408)*($I$2:I408=I408)*($J$2:J408=J408)*($K$2:K408=K408)*($N$2:N408=N408))=1,"بله-1","بله")))</f>
        <v>خیر</v>
      </c>
      <c r="P408" s="5" t="str" cm="1">
        <f t="array" ref="P408">IF(A408="","",IF(SUMPRODUCT(($F$2:$F$969=F408)*($I$2:$I$969=I408))=1,"خیر",IF(SUMPRODUCT(($F$2:F408=F408)*($I$2:I408=I408))=1,"بله-1","بله")))</f>
        <v>خیر</v>
      </c>
    </row>
    <row r="409" spans="1:16" ht="18.75" x14ac:dyDescent="0.25">
      <c r="A409" s="2">
        <v>510025759</v>
      </c>
      <c r="B409" s="2" t="s">
        <v>1950</v>
      </c>
      <c r="C409" s="2" t="s">
        <v>1951</v>
      </c>
      <c r="D409" s="2" t="s">
        <v>1356</v>
      </c>
      <c r="E409" s="2" t="s">
        <v>491</v>
      </c>
      <c r="F409" s="2" t="s">
        <v>1593</v>
      </c>
      <c r="G409" s="2" t="s">
        <v>1436</v>
      </c>
      <c r="H409" s="2" t="s">
        <v>2024</v>
      </c>
      <c r="I409" s="2" t="s">
        <v>1395</v>
      </c>
      <c r="J409" s="2" t="s">
        <v>1109</v>
      </c>
      <c r="K409" s="2" t="s">
        <v>289</v>
      </c>
      <c r="L409" s="3">
        <f>IF(OR(TRIM(I409)="",TRIM(K409)=""),"",IFERROR((VALUE(LEFT(TRIM(I409),4))-VALUE(LEFT(TRIM(K409),4)))*12+VALUE(MID(TRIM(I409),6,2))-VALUE(MID(TRIM(K409),6,2)),""))</f>
        <v>11</v>
      </c>
      <c r="M409" s="2" t="str">
        <f>IF(TRIM(H409)="","",IFERROR(LOOKUP(2,1/(ISNUMBER(SEARCH('منطق دسته‌بندی'!$A$2:$A$187,H409))),'منطق دسته‌بندی'!$B$2:$B$187),"سایر (نیازمند بررسی دستی)"))</f>
        <v>مکانیزم درب - زبانه (تعویض)</v>
      </c>
      <c r="N409" s="2" t="s">
        <v>1594</v>
      </c>
      <c r="O409" s="2" t="str" cm="1">
        <f t="array" ref="O409">IF(A409="","",IF(SUMPRODUCT(($B$2:$B$965=B409)*($C$2:$C$965=C409)*($D$2:$D$965=D409)*($E$2:$E$965=E409)*($F$2:$F$965=F409)*($G$2:$G$965=G409)*($H$2:$H$965=H409)*($I$2:$I$965=I409)*($J$2:$J$965=J409)*($K$2:$K$965=K409)*($N$2:$N$965=N409))=1,"خیر",IF(SUMPRODUCT(($B$2:B409=B409)*($C$2:C409=C409)*($D$2:D409=D409)*($E$2:E409=E409)*($F$2:F409=F409)*($G$2:G409=G409)*($H$2:H409=H409)*($I$2:I409=I409)*($J$2:J409=J409)*($K$2:K409=K409)*($N$2:N409=N409))=1,"بله-1","بله")))</f>
        <v>خیر</v>
      </c>
      <c r="P409" s="5" t="str" cm="1">
        <f t="array" ref="P409">IF(A409="","",IF(SUMPRODUCT(($F$2:$F$969=F409)*($I$2:$I$969=I409))=1,"خیر",IF(SUMPRODUCT(($F$2:F409=F409)*($I$2:I409=I409))=1,"بله-1","بله")))</f>
        <v>خیر</v>
      </c>
    </row>
    <row r="410" spans="1:16" ht="18.75" x14ac:dyDescent="0.25">
      <c r="A410" s="2">
        <v>710004691</v>
      </c>
      <c r="B410" s="2" t="s">
        <v>1040</v>
      </c>
      <c r="C410" s="2" t="s">
        <v>1041</v>
      </c>
      <c r="D410" s="2" t="s">
        <v>1356</v>
      </c>
      <c r="E410" s="2" t="s">
        <v>491</v>
      </c>
      <c r="F410" s="2" t="s">
        <v>1589</v>
      </c>
      <c r="G410" s="2" t="s">
        <v>1590</v>
      </c>
      <c r="H410" s="2" t="s">
        <v>1462</v>
      </c>
      <c r="I410" s="2" t="s">
        <v>1451</v>
      </c>
      <c r="J410" s="2" t="s">
        <v>1109</v>
      </c>
      <c r="K410" s="2" t="s">
        <v>1591</v>
      </c>
      <c r="L410" s="3">
        <f>IF(OR(TRIM(I410)="",TRIM(K410)=""),"",IFERROR((VALUE(LEFT(TRIM(I410),4))-VALUE(LEFT(TRIM(K410),4)))*12+VALUE(MID(TRIM(I410),6,2))-VALUE(MID(TRIM(K410),6,2)),""))</f>
        <v>8</v>
      </c>
      <c r="M410" s="2" t="str">
        <f>IF(TRIM(H410)="","",IFERROR(LOOKUP(2,1/(ISNUMBER(SEARCH('منطق دسته‌بندی'!$A$2:$A$187,H410))),'منطق دسته‌بندی'!$B$2:$B$187),"سایر (نیازمند بررسی دستی)"))</f>
        <v>خرابی - برد الکترونیک (تعویض)</v>
      </c>
      <c r="N410" s="2" t="s">
        <v>1592</v>
      </c>
      <c r="O410" s="2" t="str" cm="1">
        <f t="array" ref="O410">IF(A410="","",IF(SUMPRODUCT(($B$2:$B$965=B410)*($C$2:$C$965=C410)*($D$2:$D$965=D410)*($E$2:$E$965=E410)*($F$2:$F$965=F410)*($G$2:$G$965=G410)*($H$2:$H$965=H410)*($I$2:$I$965=I410)*($J$2:$J$965=J410)*($K$2:$K$965=K410)*($N$2:$N$965=N410))=1,"خیر",IF(SUMPRODUCT(($B$2:B410=B410)*($C$2:C410=C410)*($D$2:D410=D410)*($E$2:E410=E410)*($F$2:F410=F410)*($G$2:G410=G410)*($H$2:H410=H410)*($I$2:I410=I410)*($J$2:J410=J410)*($K$2:K410=K410)*($N$2:N410=N410))=1,"بله-1","بله")))</f>
        <v>خیر</v>
      </c>
      <c r="P410" s="5" t="str" cm="1">
        <f t="array" ref="P410">IF(A410="","",IF(SUMPRODUCT(($F$2:$F$969=F410)*($I$2:$I$969=I410))=1,"خیر",IF(SUMPRODUCT(($F$2:F410=F410)*($I$2:I410=I410))=1,"بله-1","بله")))</f>
        <v>خیر</v>
      </c>
    </row>
    <row r="411" spans="1:16" ht="18.75" x14ac:dyDescent="0.25">
      <c r="A411" s="2" t="s">
        <v>874</v>
      </c>
      <c r="B411" s="2" t="s">
        <v>632</v>
      </c>
      <c r="C411" s="2" t="s">
        <v>633</v>
      </c>
      <c r="D411" s="2" t="s">
        <v>1356</v>
      </c>
      <c r="E411" s="2" t="s">
        <v>491</v>
      </c>
      <c r="F411" s="2" t="s">
        <v>875</v>
      </c>
      <c r="G411" s="2" t="s">
        <v>214</v>
      </c>
      <c r="H411" s="2" t="s">
        <v>139</v>
      </c>
      <c r="I411" s="2" t="s">
        <v>868</v>
      </c>
      <c r="J411" s="2" t="s">
        <v>692</v>
      </c>
      <c r="K411" s="2" t="s">
        <v>814</v>
      </c>
      <c r="L411" s="3">
        <f>IF(OR(TRIM(I411)="",TRIM(K411)=""),"",IFERROR((VALUE(LEFT(TRIM(I411),4))-VALUE(LEFT(TRIM(K411),4)))*12+VALUE(MID(TRIM(I411),6,2))-VALUE(MID(TRIM(K411),6,2)),""))</f>
        <v>5</v>
      </c>
      <c r="M411" s="2" t="str">
        <f>IF(TRIM(H411)="","",IFERROR(LOOKUP(2,1/(ISNUMBER(SEARCH('منطق دسته‌بندی'!$A$2:$A$187,H411))),'منطق دسته‌بندی'!$B$2:$B$187),"سایر (نیازمند بررسی دستی)"))</f>
        <v>تراز/لرزش - نصب (رگلاژ پایه)</v>
      </c>
      <c r="N411" s="2" t="s">
        <v>158</v>
      </c>
      <c r="O411" s="2" t="str" cm="1">
        <f t="array" ref="O411">IF(A411="","",IF(SUMPRODUCT(($B$2:$B$965=B411)*($C$2:$C$965=C411)*($D$2:$D$965=D411)*($E$2:$E$965=E411)*($F$2:$F$965=F411)*($G$2:$G$965=G411)*($H$2:$H$965=H411)*($I$2:$I$965=I411)*($J$2:$J$965=J411)*($K$2:$K$965=K411)*($N$2:$N$965=N411))=1,"خیر",IF(SUMPRODUCT(($B$2:B411=B411)*($C$2:C411=C411)*($D$2:D411=D411)*($E$2:E411=E411)*($F$2:F411=F411)*($G$2:G411=G411)*($H$2:H411=H411)*($I$2:I411=I411)*($J$2:J411=J411)*($K$2:K411=K411)*($N$2:N411=N411))=1,"بله-1","بله")))</f>
        <v>خیر</v>
      </c>
      <c r="P411" s="5" t="str" cm="1">
        <f t="array" ref="P411">IF(A411="","",IF(SUMPRODUCT(($F$2:$F$969=F411)*($I$2:$I$969=I411))=1,"خیر",IF(SUMPRODUCT(($F$2:F411=F411)*($I$2:I411=I411))=1,"بله-1","بله")))</f>
        <v>خیر</v>
      </c>
    </row>
    <row r="412" spans="1:16" ht="18.75" x14ac:dyDescent="0.25">
      <c r="A412" s="2" t="s">
        <v>1242</v>
      </c>
      <c r="B412" s="2" t="s">
        <v>1040</v>
      </c>
      <c r="C412" s="2" t="s">
        <v>1041</v>
      </c>
      <c r="D412" s="2" t="s">
        <v>1356</v>
      </c>
      <c r="E412" s="2" t="s">
        <v>1243</v>
      </c>
      <c r="F412" s="2" t="s">
        <v>1244</v>
      </c>
      <c r="G412" s="2" t="s">
        <v>27</v>
      </c>
      <c r="H412" s="2" t="s">
        <v>1245</v>
      </c>
      <c r="I412" s="2" t="s">
        <v>1240</v>
      </c>
      <c r="J412" s="2" t="s">
        <v>157</v>
      </c>
      <c r="K412" s="2" t="s">
        <v>1246</v>
      </c>
      <c r="L412" s="3">
        <f>IF(OR(TRIM(I412)="",TRIM(K412)=""),"",IFERROR((VALUE(LEFT(TRIM(I412),4))-VALUE(LEFT(TRIM(K412),4)))*12+VALUE(MID(TRIM(I412),6,2))-VALUE(MID(TRIM(K412),6,2)),""))</f>
        <v>11</v>
      </c>
      <c r="M412" s="2" t="str">
        <f>IF(TRIM(H412)="","",IFERROR(LOOKUP(2,1/(ISNUMBER(SEARCH('منطق دسته‌بندی'!$A$2:$A$187,H412))),'منطق دسته‌بندی'!$B$2:$B$187),"سایر (نیازمند بررسی دستی)"))</f>
        <v>عایق‌کاری/اصلاح (تعمیر)</v>
      </c>
      <c r="N412" s="2" t="s">
        <v>24</v>
      </c>
      <c r="O412" s="2" t="str" cm="1">
        <f t="array" ref="O412">IF(A412="","",IF(SUMPRODUCT(($B$2:$B$965=B412)*($C$2:$C$965=C412)*($D$2:$D$965=D412)*($E$2:$E$965=E412)*($F$2:$F$965=F412)*($G$2:$G$965=G412)*($H$2:$H$965=H412)*($I$2:$I$965=I412)*($J$2:$J$965=J412)*($K$2:$K$965=K412)*($N$2:$N$965=N412))=1,"خیر",IF(SUMPRODUCT(($B$2:B412=B412)*($C$2:C412=C412)*($D$2:D412=D412)*($E$2:E412=E412)*($F$2:F412=F412)*($G$2:G412=G412)*($H$2:H412=H412)*($I$2:I412=I412)*($J$2:J412=J412)*($K$2:K412=K412)*($N$2:N412=N412))=1,"بله-1","بله")))</f>
        <v>خیر</v>
      </c>
      <c r="P412" s="5" t="str" cm="1">
        <f t="array" ref="P412">IF(A412="","",IF(SUMPRODUCT(($F$2:$F$969=F412)*($I$2:$I$969=I412))=1,"خیر",IF(SUMPRODUCT(($F$2:F412=F412)*($I$2:I412=I412))=1,"بله-1","بله")))</f>
        <v>خیر</v>
      </c>
    </row>
    <row r="413" spans="1:16" ht="18.75" x14ac:dyDescent="0.25">
      <c r="A413" s="2">
        <v>210022709</v>
      </c>
      <c r="B413" s="2" t="s">
        <v>1040</v>
      </c>
      <c r="C413" s="2" t="s">
        <v>1041</v>
      </c>
      <c r="D413" s="2" t="s">
        <v>1356</v>
      </c>
      <c r="E413" s="2" t="s">
        <v>1243</v>
      </c>
      <c r="F413" s="2" t="s">
        <v>1595</v>
      </c>
      <c r="G413" s="2" t="s">
        <v>1596</v>
      </c>
      <c r="H413" s="2" t="s">
        <v>1365</v>
      </c>
      <c r="I413" s="2" t="s">
        <v>1506</v>
      </c>
      <c r="J413" s="2" t="s">
        <v>1597</v>
      </c>
      <c r="K413" s="2" t="s">
        <v>1176</v>
      </c>
      <c r="L413" s="3">
        <f>IF(OR(TRIM(I413)="",TRIM(K413)=""),"",IFERROR((VALUE(LEFT(TRIM(I413),4))-VALUE(LEFT(TRIM(K413),4)))*12+VALUE(MID(TRIM(I413),6,2))-VALUE(MID(TRIM(K413),6,2)),""))</f>
        <v>0</v>
      </c>
      <c r="M413" s="2" t="str">
        <f>IF(TRIM(H413)="","",IFERROR(LOOKUP(2,1/(ISNUMBER(SEARCH('منطق دسته‌بندی'!$A$2:$A$187,H413))),'منطق دسته‌بندی'!$B$2:$B$187),"سایر (نیازمند بررسی دستی)"))</f>
        <v>خرابی - شیربرقی (تعویض)</v>
      </c>
      <c r="N413" s="2" t="s">
        <v>1598</v>
      </c>
      <c r="O413" s="2" t="str" cm="1">
        <f t="array" ref="O413">IF(A413="","",IF(SUMPRODUCT(($B$2:$B$965=B413)*($C$2:$C$965=C413)*($D$2:$D$965=D413)*($E$2:$E$965=E413)*($F$2:$F$965=F413)*($G$2:$G$965=G413)*($H$2:$H$965=H413)*($I$2:$I$965=I413)*($J$2:$J$965=J413)*($K$2:$K$965=K413)*($N$2:$N$965=N413))=1,"خیر",IF(SUMPRODUCT(($B$2:B413=B413)*($C$2:C413=C413)*($D$2:D413=D413)*($E$2:E413=E413)*($F$2:F413=F413)*($G$2:G413=G413)*($H$2:H413=H413)*($I$2:I413=I413)*($J$2:J413=J413)*($K$2:K413=K413)*($N$2:N413=N413))=1,"بله-1","بله")))</f>
        <v>خیر</v>
      </c>
      <c r="P413" s="5" t="str" cm="1">
        <f t="array" ref="P413">IF(A413="","",IF(SUMPRODUCT(($F$2:$F$969=F413)*($I$2:$I$969=I413))=1,"خیر",IF(SUMPRODUCT(($F$2:F413=F413)*($I$2:I413=I413))=1,"بله-1","بله")))</f>
        <v>خیر</v>
      </c>
    </row>
    <row r="414" spans="1:16" ht="18.75" x14ac:dyDescent="0.25">
      <c r="A414" s="2" t="s">
        <v>1039</v>
      </c>
      <c r="B414" s="2" t="s">
        <v>1040</v>
      </c>
      <c r="C414" s="2" t="s">
        <v>1041</v>
      </c>
      <c r="D414" s="2" t="s">
        <v>42</v>
      </c>
      <c r="E414" s="2" t="s">
        <v>1042</v>
      </c>
      <c r="F414" s="2" t="s">
        <v>1043</v>
      </c>
      <c r="G414" s="2" t="s">
        <v>543</v>
      </c>
      <c r="H414" s="2" t="s">
        <v>190</v>
      </c>
      <c r="I414" s="2" t="s">
        <v>1044</v>
      </c>
      <c r="J414" s="2" t="s">
        <v>523</v>
      </c>
      <c r="K414" s="2" t="s">
        <v>1045</v>
      </c>
      <c r="L414" s="3">
        <f>IF(OR(TRIM(I414)="",TRIM(K414)=""),"",IFERROR((VALUE(LEFT(TRIM(I414),4))-VALUE(LEFT(TRIM(K414),4)))*12+VALUE(MID(TRIM(I414),6,2))-VALUE(MID(TRIM(K414),6,2)),""))</f>
        <v>26</v>
      </c>
      <c r="M414" s="2" t="str">
        <f>IF(TRIM(H414)="","",IFERROR(LOOKUP(2,1/(ISNUMBER(SEARCH('منطق دسته‌بندی'!$A$2:$A$187,H414))),'منطق دسته‌بندی'!$B$2:$B$187),"سایر (نیازمند بررسی دستی)"))</f>
        <v>نشتی - مقسم آب (تعمیر/آب‌بندی)</v>
      </c>
      <c r="N414" s="2" t="s">
        <v>1046</v>
      </c>
      <c r="O414" s="2" t="str" cm="1">
        <f t="array" ref="O414">IF(A414="","",IF(SUMPRODUCT(($B$2:$B$965=B414)*($C$2:$C$965=C414)*($D$2:$D$965=D414)*($E$2:$E$965=E414)*($F$2:$F$965=F414)*($G$2:$G$965=G414)*($H$2:$H$965=H414)*($I$2:$I$965=I414)*($J$2:$J$965=J414)*($K$2:$K$965=K414)*($N$2:$N$965=N414))=1,"خیر",IF(SUMPRODUCT(($B$2:B414=B414)*($C$2:C414=C414)*($D$2:D414=D414)*($E$2:E414=E414)*($F$2:F414=F414)*($G$2:G414=G414)*($H$2:H414=H414)*($I$2:I414=I414)*($J$2:J414=J414)*($K$2:K414=K414)*($N$2:N414=N414))=1,"بله-1","بله")))</f>
        <v>خیر</v>
      </c>
      <c r="P414" s="5" t="str" cm="1">
        <f t="array" ref="P414">IF(A414="","",IF(SUMPRODUCT(($F$2:$F$969=F414)*($I$2:$I$969=I414))=1,"خیر",IF(SUMPRODUCT(($F$2:F414=F414)*($I$2:I414=I414))=1,"بله-1","بله")))</f>
        <v>خیر</v>
      </c>
    </row>
    <row r="415" spans="1:16" ht="37.5" x14ac:dyDescent="0.25">
      <c r="A415" s="2" t="s">
        <v>471</v>
      </c>
      <c r="B415" s="2" t="s">
        <v>16</v>
      </c>
      <c r="C415" s="2" t="s">
        <v>17</v>
      </c>
      <c r="D415" s="2" t="s">
        <v>42</v>
      </c>
      <c r="E415" s="2" t="s">
        <v>51</v>
      </c>
      <c r="F415" s="2" t="s">
        <v>472</v>
      </c>
      <c r="G415" s="2" t="s">
        <v>403</v>
      </c>
      <c r="H415" s="2" t="s">
        <v>68</v>
      </c>
      <c r="I415" s="2" t="s">
        <v>435</v>
      </c>
      <c r="J415" s="2" t="s">
        <v>473</v>
      </c>
      <c r="K415" s="2" t="s">
        <v>474</v>
      </c>
      <c r="L415" s="3">
        <f>IF(OR(TRIM(I415)="",TRIM(K415)=""),"",IFERROR((VALUE(LEFT(TRIM(I415),4))-VALUE(LEFT(TRIM(K415),4)))*12+VALUE(MID(TRIM(I415),6,2))-VALUE(MID(TRIM(K415),6,2)),""))</f>
        <v>8</v>
      </c>
      <c r="M415" s="2" t="str">
        <f>IF(TRIM(H415)="","",IFERROR(LOOKUP(2,1/(ISNUMBER(SEARCH('منطق دسته‌بندی'!$A$2:$A$187,H415))),'منطق دسته‌بندی'!$B$2:$B$187),"سایر (نیازمند بررسی دستی)"))</f>
        <v>مکانیزم درب - میکروسوئیچ/قلاب (تعویض/تنظیم)</v>
      </c>
      <c r="N415" s="2" t="s">
        <v>71</v>
      </c>
      <c r="O415" s="2" t="str" cm="1">
        <f t="array" ref="O415">IF(A415="","",IF(SUMPRODUCT(($B$2:$B$965=B415)*($C$2:$C$965=C415)*($D$2:$D$965=D415)*($E$2:$E$965=E415)*($F$2:$F$965=F415)*($G$2:$G$965=G415)*($H$2:$H$965=H415)*($I$2:$I$965=I415)*($J$2:$J$965=J415)*($K$2:$K$965=K415)*($N$2:$N$965=N415))=1,"خیر",IF(SUMPRODUCT(($B$2:B415=B415)*($C$2:C415=C415)*($D$2:D415=D415)*($E$2:E415=E415)*($F$2:F415=F415)*($G$2:G415=G415)*($H$2:H415=H415)*($I$2:I415=I415)*($J$2:J415=J415)*($K$2:K415=K415)*($N$2:N415=N415))=1,"بله-1","بله")))</f>
        <v>خیر</v>
      </c>
      <c r="P415" s="5" t="str" cm="1">
        <f t="array" ref="P415">IF(A415="","",IF(SUMPRODUCT(($F$2:$F$969=F415)*($I$2:$I$969=I415))=1,"خیر",IF(SUMPRODUCT(($F$2:F415=F415)*($I$2:I415=I415))=1,"بله-1","بله")))</f>
        <v>خیر</v>
      </c>
    </row>
    <row r="416" spans="1:16" ht="18.75" x14ac:dyDescent="0.25">
      <c r="A416" s="2" t="s">
        <v>1311</v>
      </c>
      <c r="B416" s="2" t="s">
        <v>1040</v>
      </c>
      <c r="C416" s="2" t="s">
        <v>1041</v>
      </c>
      <c r="D416" s="2" t="s">
        <v>42</v>
      </c>
      <c r="E416" s="2" t="s">
        <v>1312</v>
      </c>
      <c r="F416" s="2" t="s">
        <v>1313</v>
      </c>
      <c r="G416" s="2" t="s">
        <v>1233</v>
      </c>
      <c r="H416" s="2" t="s">
        <v>1084</v>
      </c>
      <c r="I416" s="2" t="s">
        <v>1305</v>
      </c>
      <c r="J416" s="2" t="s">
        <v>1314</v>
      </c>
      <c r="K416" s="2" t="s">
        <v>1315</v>
      </c>
      <c r="L416" s="3">
        <f>IF(OR(TRIM(I416)="",TRIM(K416)=""),"",IFERROR((VALUE(LEFT(TRIM(I416),4))-VALUE(LEFT(TRIM(K416),4)))*12+VALUE(MID(TRIM(I416),6,2))-VALUE(MID(TRIM(K416),6,2)),""))</f>
        <v>29</v>
      </c>
      <c r="M416" s="2" t="str">
        <f>IF(TRIM(H416)="","",IFERROR(LOOKUP(2,1/(ISNUMBER(SEARCH('منطق دسته‌بندی'!$A$2:$A$187,H416))),'منطق دسته‌بندی'!$B$2:$B$187),"سایر (نیازمند بررسی دستی)"))</f>
        <v>زنگ‌زدگی بدنه/قطعه (تعویض)</v>
      </c>
      <c r="N416" s="2" t="s">
        <v>1316</v>
      </c>
      <c r="O416" s="2" t="str" cm="1">
        <f t="array" ref="O416">IF(A416="","",IF(SUMPRODUCT(($B$2:$B$965=B416)*($C$2:$C$965=C416)*($D$2:$D$965=D416)*($E$2:$E$965=E416)*($F$2:$F$965=F416)*($G$2:$G$965=G416)*($H$2:$H$965=H416)*($I$2:$I$965=I416)*($J$2:$J$965=J416)*($K$2:$K$965=K416)*($N$2:$N$965=N416))=1,"خیر",IF(SUMPRODUCT(($B$2:B416=B416)*($C$2:C416=C416)*($D$2:D416=D416)*($E$2:E416=E416)*($F$2:F416=F416)*($G$2:G416=G416)*($H$2:H416=H416)*($I$2:I416=I416)*($J$2:J416=J416)*($K$2:K416=K416)*($N$2:N416=N416))=1,"بله-1","بله")))</f>
        <v>خیر</v>
      </c>
      <c r="P416" s="5" t="str" cm="1">
        <f t="array" ref="P416">IF(A416="","",IF(SUMPRODUCT(($F$2:$F$969=F416)*($I$2:$I$969=I416))=1,"خیر",IF(SUMPRODUCT(($F$2:F416=F416)*($I$2:I416=I416))=1,"بله-1","بله")))</f>
        <v>خیر</v>
      </c>
    </row>
    <row r="417" spans="1:16" ht="18.75" x14ac:dyDescent="0.25">
      <c r="A417" s="2" t="s">
        <v>610</v>
      </c>
      <c r="B417" s="2" t="s">
        <v>16</v>
      </c>
      <c r="C417" s="2" t="s">
        <v>17</v>
      </c>
      <c r="D417" s="2" t="s">
        <v>42</v>
      </c>
      <c r="E417" s="2" t="s">
        <v>93</v>
      </c>
      <c r="F417" s="2" t="s">
        <v>611</v>
      </c>
      <c r="G417" s="2" t="s">
        <v>84</v>
      </c>
      <c r="H417" s="18" t="s">
        <v>221</v>
      </c>
      <c r="I417" s="2" t="s">
        <v>580</v>
      </c>
      <c r="J417" s="2" t="s">
        <v>612</v>
      </c>
      <c r="K417" s="2" t="s">
        <v>613</v>
      </c>
      <c r="L417" s="3">
        <f>IF(OR(TRIM(I417)="",TRIM(K417)=""),"",IFERROR((VALUE(LEFT(TRIM(I417),4))-VALUE(LEFT(TRIM(K417),4)))*12+VALUE(MID(TRIM(I417),6,2))-VALUE(MID(TRIM(K417),6,2)),""))</f>
        <v>11</v>
      </c>
      <c r="M417" s="2" t="str">
        <f>IF(TRIM(H417)="","",IFERROR(LOOKUP(2,1/(ISNUMBER(SEARCH('منطق دسته‌بندی'!$A$2:$A$187,H417))),'منطق دسته‌بندی'!$B$2:$B$187),"سایر (نیازمند بررسی دستی)"))</f>
        <v>نشتی - پمپ تخلیه (تعمیر/آب‌بندی)</v>
      </c>
      <c r="N417" s="2" t="s">
        <v>2025</v>
      </c>
      <c r="O417" s="2" t="str" cm="1">
        <f t="array" ref="O417">IF(A417="","",IF(SUMPRODUCT(($B$2:$B$965=B417)*($C$2:$C$965=C417)*($D$2:$D$965=D417)*($E$2:$E$965=E417)*($F$2:$F$965=F417)*($G$2:$G$965=G417)*($H$2:$H$965=H417)*($I$2:$I$965=I417)*($J$2:$J$965=J417)*($K$2:$K$965=K417)*($N$2:$N$965=N417))=1,"خیر",IF(SUMPRODUCT(($B$2:B417=B417)*($C$2:C417=C417)*($D$2:D417=D417)*($E$2:E417=E417)*($F$2:F417=F417)*($G$2:G417=G417)*($H$2:H417=H417)*($I$2:I417=I417)*($J$2:J417=J417)*($K$2:K417=K417)*($N$2:N417=N417))=1,"بله-1","بله")))</f>
        <v>خیر</v>
      </c>
      <c r="P417" s="5" t="str" cm="1">
        <f t="array" ref="P417">IF(A417="","",IF(SUMPRODUCT(($F$2:$F$969=F417)*($I$2:$I$969=I417))=1,"خیر",IF(SUMPRODUCT(($F$2:F417=F417)*($I$2:I417=I417))=1,"بله-1","بله")))</f>
        <v>خیر</v>
      </c>
    </row>
    <row r="418" spans="1:16" ht="18.75" x14ac:dyDescent="0.25">
      <c r="A418" s="2" t="s">
        <v>521</v>
      </c>
      <c r="B418" s="2" t="s">
        <v>16</v>
      </c>
      <c r="C418" s="2" t="s">
        <v>17</v>
      </c>
      <c r="D418" s="2" t="s">
        <v>42</v>
      </c>
      <c r="E418" s="2" t="s">
        <v>93</v>
      </c>
      <c r="F418" s="2" t="s">
        <v>522</v>
      </c>
      <c r="G418" s="2" t="s">
        <v>95</v>
      </c>
      <c r="H418" s="2" t="s">
        <v>487</v>
      </c>
      <c r="I418" s="2" t="s">
        <v>507</v>
      </c>
      <c r="J418" s="2" t="s">
        <v>523</v>
      </c>
      <c r="K418" s="2" t="s">
        <v>391</v>
      </c>
      <c r="L418" s="3">
        <f>IF(OR(TRIM(I418)="",TRIM(K418)=""),"",IFERROR((VALUE(LEFT(TRIM(I418),4))-VALUE(LEFT(TRIM(K418),4)))*12+VALUE(MID(TRIM(I418),6,2))-VALUE(MID(TRIM(K418),6,2)),""))</f>
        <v>9</v>
      </c>
      <c r="M418" s="2" t="str">
        <f>IF(TRIM(H418)="","",IFERROR(LOOKUP(2,1/(ISNUMBER(SEARCH('منطق دسته‌بندی'!$A$2:$A$187,H418))),'منطق دسته‌بندی'!$B$2:$B$187),"سایر (نیازمند بررسی دستی)"))</f>
        <v>نشتی - شیلنگ (تعمیر/آب‌بندی)</v>
      </c>
      <c r="N418" s="2" t="s">
        <v>24</v>
      </c>
      <c r="O418" s="2" t="str" cm="1">
        <f t="array" ref="O418">IF(A418="","",IF(SUMPRODUCT(($B$2:$B$965=B418)*($C$2:$C$965=C418)*($D$2:$D$965=D418)*($E$2:$E$965=E418)*($F$2:$F$965=F418)*($G$2:$G$965=G418)*($H$2:$H$965=H418)*($I$2:$I$965=I418)*($J$2:$J$965=J418)*($K$2:$K$965=K418)*($N$2:$N$965=N418))=1,"خیر",IF(SUMPRODUCT(($B$2:B418=B418)*($C$2:C418=C418)*($D$2:D418=D418)*($E$2:E418=E418)*($F$2:F418=F418)*($G$2:G418=G418)*($H$2:H418=H418)*($I$2:I418=I418)*($J$2:J418=J418)*($K$2:K418=K418)*($N$2:N418=N418))=1,"بله-1","بله")))</f>
        <v>خیر</v>
      </c>
      <c r="P418" s="5" t="str" cm="1">
        <f t="array" ref="P418">IF(A418="","",IF(SUMPRODUCT(($F$2:$F$969=F418)*($I$2:$I$969=I418))=1,"خیر",IF(SUMPRODUCT(($F$2:F418=F418)*($I$2:I418=I418))=1,"بله-1","بله")))</f>
        <v>خیر</v>
      </c>
    </row>
    <row r="419" spans="1:16" ht="37.5" x14ac:dyDescent="0.25">
      <c r="A419" s="2" t="s">
        <v>176</v>
      </c>
      <c r="B419" s="2" t="s">
        <v>16</v>
      </c>
      <c r="C419" s="2" t="s">
        <v>17</v>
      </c>
      <c r="D419" s="2" t="s">
        <v>42</v>
      </c>
      <c r="E419" s="2" t="s">
        <v>93</v>
      </c>
      <c r="F419" s="9" t="s">
        <v>177</v>
      </c>
      <c r="G419" s="2" t="s">
        <v>178</v>
      </c>
      <c r="H419" s="2" t="s">
        <v>179</v>
      </c>
      <c r="I419" s="2" t="s">
        <v>47</v>
      </c>
      <c r="J419" s="2" t="s">
        <v>180</v>
      </c>
      <c r="K419" s="9" t="s">
        <v>191</v>
      </c>
      <c r="L419" s="3">
        <f>IF(OR(TRIM(I419)="",TRIM(K419)=""),"",IFERROR((VALUE(LEFT(TRIM(I419),4))-VALUE(LEFT(TRIM(K419),4)))*12+VALUE(MID(TRIM(I419),6,2))-VALUE(MID(TRIM(K419),6,2)),""))</f>
        <v>25</v>
      </c>
      <c r="M419" s="2" t="str">
        <f>IF(TRIM(H419)="","",IFERROR(LOOKUP(2,1/(ISNUMBER(SEARCH('منطق دسته‌بندی'!$A$2:$A$187,H419))),'منطق دسته‌بندی'!$B$2:$B$187),"سایر (نیازمند بررسی دستی)"))</f>
        <v>نشتی - جاپودری/جا قرصی (تعمیر/آب‌بندی)</v>
      </c>
      <c r="N419" s="2" t="s">
        <v>24</v>
      </c>
      <c r="O419" s="2" t="str" cm="1">
        <f t="array" ref="O419">IF(A419="","",IF(SUMPRODUCT(($B$2:$B$965=B419)*($C$2:$C$965=C419)*($D$2:$D$965=D419)*($E$2:$E$965=E419)*($F$2:$F$965=F419)*($G$2:$G$965=G419)*($H$2:$H$965=H419)*($I$2:$I$965=I419)*($J$2:$J$965=J419)*($K$2:$K$965=K419)*($N$2:$N$965=N419))=1,"خیر",IF(SUMPRODUCT(($B$2:B419=B419)*($C$2:C419=C419)*($D$2:D419=D419)*($E$2:E419=E419)*($F$2:F419=F419)*($G$2:G419=G419)*($H$2:H419=H419)*($I$2:I419=I419)*($J$2:J419=J419)*($K$2:K419=K419)*($N$2:N419=N419))=1,"بله-1","بله")))</f>
        <v>خیر</v>
      </c>
      <c r="P419" s="5" t="str" cm="1">
        <f t="array" ref="P419">IF(A419="","",IF(SUMPRODUCT(($F$2:$F$969=F419)*($I$2:$I$969=I419))=1,"خیر",IF(SUMPRODUCT(($F$2:F419=F419)*($I$2:I419=I419))=1,"بله-1","بله")))</f>
        <v>بله-1</v>
      </c>
    </row>
    <row r="420" spans="1:16" ht="18.75" x14ac:dyDescent="0.25">
      <c r="A420" s="2" t="s">
        <v>189</v>
      </c>
      <c r="B420" s="2" t="s">
        <v>16</v>
      </c>
      <c r="C420" s="2" t="s">
        <v>17</v>
      </c>
      <c r="D420" s="2" t="s">
        <v>42</v>
      </c>
      <c r="E420" s="2" t="s">
        <v>93</v>
      </c>
      <c r="F420" s="9" t="s">
        <v>177</v>
      </c>
      <c r="G420" s="2" t="s">
        <v>178</v>
      </c>
      <c r="H420" s="2" t="s">
        <v>190</v>
      </c>
      <c r="I420" s="2" t="s">
        <v>47</v>
      </c>
      <c r="J420" s="2" t="s">
        <v>180</v>
      </c>
      <c r="K420" s="9" t="s">
        <v>191</v>
      </c>
      <c r="L420" s="3">
        <f>IF(OR(TRIM(I420)="",TRIM(K420)=""),"",IFERROR((VALUE(LEFT(TRIM(I420),4))-VALUE(LEFT(TRIM(K420),4)))*12+VALUE(MID(TRIM(I420),6,2))-VALUE(MID(TRIM(K420),6,2)),""))</f>
        <v>25</v>
      </c>
      <c r="M420" s="2" t="str">
        <f>IF(TRIM(H420)="","",IFERROR(LOOKUP(2,1/(ISNUMBER(SEARCH('منطق دسته‌بندی'!$A$2:$A$187,H420))),'منطق دسته‌بندی'!$B$2:$B$187),"سایر (نیازمند بررسی دستی)"))</f>
        <v>نشتی - مقسم آب (تعمیر/آب‌بندی)</v>
      </c>
      <c r="N420" s="2" t="s">
        <v>24</v>
      </c>
      <c r="O420" s="2" t="str" cm="1">
        <f t="array" ref="O420">IF(A420="","",IF(SUMPRODUCT(($B$2:$B$965=B420)*($C$2:$C$965=C420)*($D$2:$D$965=D420)*($E$2:$E$965=E420)*($F$2:$F$965=F420)*($G$2:$G$965=G420)*($H$2:$H$965=H420)*($I$2:$I$965=I420)*($J$2:$J$965=J420)*($K$2:$K$965=K420)*($N$2:$N$965=N420))=1,"خیر",IF(SUMPRODUCT(($B$2:B420=B420)*($C$2:C420=C420)*($D$2:D420=D420)*($E$2:E420=E420)*($F$2:F420=F420)*($G$2:G420=G420)*($H$2:H420=H420)*($I$2:I420=I420)*($J$2:J420=J420)*($K$2:K420=K420)*($N$2:N420=N420))=1,"بله-1","بله")))</f>
        <v>خیر</v>
      </c>
      <c r="P420" s="5" t="str" cm="1">
        <f t="array" ref="P420">IF(A420="","",IF(SUMPRODUCT(($F$2:$F$969=F420)*($I$2:$I$969=I420))=1,"خیر",IF(SUMPRODUCT(($F$2:F420=F420)*($I$2:I420=I420))=1,"بله-1","بله")))</f>
        <v>بله</v>
      </c>
    </row>
    <row r="421" spans="1:16" ht="37.5" x14ac:dyDescent="0.25">
      <c r="A421" s="2" t="s">
        <v>952</v>
      </c>
      <c r="B421" s="2" t="s">
        <v>881</v>
      </c>
      <c r="C421" s="2" t="s">
        <v>882</v>
      </c>
      <c r="D421" s="2" t="s">
        <v>122</v>
      </c>
      <c r="E421" s="2" t="s">
        <v>123</v>
      </c>
      <c r="F421" s="2" t="s">
        <v>953</v>
      </c>
      <c r="G421" s="2" t="s">
        <v>204</v>
      </c>
      <c r="H421" s="2" t="s">
        <v>263</v>
      </c>
      <c r="I421" s="2" t="s">
        <v>943</v>
      </c>
      <c r="J421" s="2" t="s">
        <v>923</v>
      </c>
      <c r="K421" s="2" t="s">
        <v>924</v>
      </c>
      <c r="L421" s="3">
        <f>IF(OR(TRIM(I421)="",TRIM(K421)=""),"",IFERROR((VALUE(LEFT(TRIM(I421),4))-VALUE(LEFT(TRIM(K421),4)))*12+VALUE(MID(TRIM(I421),6,2))-VALUE(MID(TRIM(K421),6,2)),""))</f>
        <v>3</v>
      </c>
      <c r="M421" s="2" t="str">
        <f>IF(TRIM(H421)="","",IFERROR(LOOKUP(2,1/(ISNUMBER(SEARCH('منطق دسته‌بندی'!$A$2:$A$187,H421))),'منطق دسته‌بندی'!$B$2:$B$187),"سایر (نیازمند بررسی دستی)"))</f>
        <v>یخساز - تنظیم/عایق (تعمیر)</v>
      </c>
      <c r="N421" s="2" t="s">
        <v>24</v>
      </c>
      <c r="O421" s="2" t="str" cm="1">
        <f t="array" ref="O421">IF(A421="","",IF(SUMPRODUCT(($B$2:$B$965=B421)*($C$2:$C$965=C421)*($D$2:$D$965=D421)*($E$2:$E$965=E421)*($F$2:$F$965=F421)*($G$2:$G$965=G421)*($H$2:$H$965=H421)*($I$2:$I$965=I421)*($J$2:$J$965=J421)*($K$2:$K$965=K421)*($N$2:$N$965=N421))=1,"خیر",IF(SUMPRODUCT(($B$2:B421=B421)*($C$2:C421=C421)*($D$2:D421=D421)*($E$2:E421=E421)*($F$2:F421=F421)*($G$2:G421=G421)*($H$2:H421=H421)*($I$2:I421=I421)*($J$2:J421=J421)*($K$2:K421=K421)*($N$2:N421=N421))=1,"بله-1","بله")))</f>
        <v>خیر</v>
      </c>
      <c r="P421" s="5" t="str" cm="1">
        <f t="array" ref="P421">IF(A421="","",IF(SUMPRODUCT(($F$2:$F$969=F421)*($I$2:$I$969=I421))=1,"خیر",IF(SUMPRODUCT(($F$2:F421=F421)*($I$2:I421=I421))=1,"بله-1","بله")))</f>
        <v>خیر</v>
      </c>
    </row>
    <row r="422" spans="1:16" ht="18.75" x14ac:dyDescent="0.25">
      <c r="A422" s="2" t="s">
        <v>248</v>
      </c>
      <c r="B422" s="2" t="s">
        <v>16</v>
      </c>
      <c r="C422" s="2" t="s">
        <v>17</v>
      </c>
      <c r="D422" s="2" t="s">
        <v>122</v>
      </c>
      <c r="E422" s="2" t="s">
        <v>123</v>
      </c>
      <c r="F422" s="2" t="s">
        <v>249</v>
      </c>
      <c r="G422" s="2" t="s">
        <v>250</v>
      </c>
      <c r="H422" s="2" t="s">
        <v>251</v>
      </c>
      <c r="I422" s="2" t="s">
        <v>239</v>
      </c>
      <c r="J422" s="2" t="s">
        <v>252</v>
      </c>
      <c r="K422" s="2" t="s">
        <v>253</v>
      </c>
      <c r="L422" s="3">
        <f>IF(OR(TRIM(I422)="",TRIM(K422)=""),"",IFERROR((VALUE(LEFT(TRIM(I422),4))-VALUE(LEFT(TRIM(K422),4)))*12+VALUE(MID(TRIM(I422),6,2))-VALUE(MID(TRIM(K422),6,2)),""))</f>
        <v>15</v>
      </c>
      <c r="M422" s="2" t="str">
        <f>IF(TRIM(H422)="","",IFERROR(LOOKUP(2,1/(ISNUMBER(SEARCH('منطق دسته‌بندی'!$A$2:$A$187,H422))),'منطق دسته‌بندی'!$B$2:$B$187),"سایر (نیازمند بررسی دستی)"))</f>
        <v>یخساز - کاور (تعویض)</v>
      </c>
      <c r="N422" s="2" t="s">
        <v>254</v>
      </c>
      <c r="O422" s="2" t="str" cm="1">
        <f t="array" ref="O422">IF(A422="","",IF(SUMPRODUCT(($B$2:$B$965=B422)*($C$2:$C$965=C422)*($D$2:$D$965=D422)*($E$2:$E$965=E422)*($F$2:$F$965=F422)*($G$2:$G$965=G422)*($H$2:$H$965=H422)*($I$2:$I$965=I422)*($J$2:$J$965=J422)*($K$2:$K$965=K422)*($N$2:$N$965=N422))=1,"خیر",IF(SUMPRODUCT(($B$2:B422=B422)*($C$2:C422=C422)*($D$2:D422=D422)*($E$2:E422=E422)*($F$2:F422=F422)*($G$2:G422=G422)*($H$2:H422=H422)*($I$2:I422=I422)*($J$2:J422=J422)*($K$2:K422=K422)*($N$2:N422=N422))=1,"بله-1","بله")))</f>
        <v>خیر</v>
      </c>
      <c r="P422" s="5" t="str" cm="1">
        <f t="array" ref="P422">IF(A422="","",IF(SUMPRODUCT(($F$2:$F$969=F422)*($I$2:$I$969=I422))=1,"خیر",IF(SUMPRODUCT(($F$2:F422=F422)*($I$2:I422=I422))=1,"بله-1","بله")))</f>
        <v>خیر</v>
      </c>
    </row>
    <row r="423" spans="1:16" ht="18.75" x14ac:dyDescent="0.25">
      <c r="A423" s="2" t="s">
        <v>560</v>
      </c>
      <c r="B423" s="2" t="s">
        <v>16</v>
      </c>
      <c r="C423" s="2" t="s">
        <v>17</v>
      </c>
      <c r="D423" s="2" t="s">
        <v>122</v>
      </c>
      <c r="E423" s="2" t="s">
        <v>123</v>
      </c>
      <c r="F423" s="2" t="s">
        <v>561</v>
      </c>
      <c r="G423" s="2" t="s">
        <v>114</v>
      </c>
      <c r="H423" s="2" t="s">
        <v>562</v>
      </c>
      <c r="I423" s="2" t="s">
        <v>549</v>
      </c>
      <c r="J423" s="2" t="s">
        <v>563</v>
      </c>
      <c r="K423" s="2" t="s">
        <v>554</v>
      </c>
      <c r="L423" s="3">
        <f>IF(OR(TRIM(I423)="",TRIM(K423)=""),"",IFERROR((VALUE(LEFT(TRIM(I423),4))-VALUE(LEFT(TRIM(K423),4)))*12+VALUE(MID(TRIM(I423),6,2))-VALUE(MID(TRIM(K423),6,2)),""))</f>
        <v>21</v>
      </c>
      <c r="M423" s="2" t="str">
        <f>IF(TRIM(H423)="","",IFERROR(LOOKUP(2,1/(ISNUMBER(SEARCH('منطق دسته‌بندی'!$A$2:$A$187,H423))),'منطق دسته‌بندی'!$B$2:$B$187),"سایر (نیازمند بررسی دستی)"))</f>
        <v>مکانیزم درب - لولا (تعویض/تنظیم)</v>
      </c>
      <c r="N423" s="2" t="s">
        <v>564</v>
      </c>
      <c r="O423" s="2" t="str" cm="1">
        <f t="array" ref="O423">IF(A423="","",IF(SUMPRODUCT(($B$2:$B$965=B423)*($C$2:$C$965=C423)*($D$2:$D$965=D423)*($E$2:$E$965=E423)*($F$2:$F$965=F423)*($G$2:$G$965=G423)*($H$2:$H$965=H423)*($I$2:$I$965=I423)*($J$2:$J$965=J423)*($K$2:$K$965=K423)*($N$2:$N$965=N423))=1,"خیر",IF(SUMPRODUCT(($B$2:B423=B423)*($C$2:C423=C423)*($D$2:D423=D423)*($E$2:E423=E423)*($F$2:F423=F423)*($G$2:G423=G423)*($H$2:H423=H423)*($I$2:I423=I423)*($J$2:J423=J423)*($K$2:K423=K423)*($N$2:N423=N423))=1,"بله-1","بله")))</f>
        <v>خیر</v>
      </c>
      <c r="P423" s="5" t="str" cm="1">
        <f t="array" ref="P423">IF(A423="","",IF(SUMPRODUCT(($F$2:$F$969=F423)*($I$2:$I$969=I423))=1,"خیر",IF(SUMPRODUCT(($F$2:F423=F423)*($I$2:I423=I423))=1,"بله-1","بله")))</f>
        <v>خیر</v>
      </c>
    </row>
    <row r="424" spans="1:16" ht="37.5" x14ac:dyDescent="0.25">
      <c r="A424" s="2" t="s">
        <v>920</v>
      </c>
      <c r="B424" s="2" t="s">
        <v>881</v>
      </c>
      <c r="C424" s="2" t="s">
        <v>882</v>
      </c>
      <c r="D424" s="2" t="s">
        <v>122</v>
      </c>
      <c r="E424" s="2" t="s">
        <v>123</v>
      </c>
      <c r="F424" s="2" t="s">
        <v>921</v>
      </c>
      <c r="G424" s="2" t="s">
        <v>204</v>
      </c>
      <c r="H424" s="2" t="s">
        <v>922</v>
      </c>
      <c r="I424" s="2" t="s">
        <v>919</v>
      </c>
      <c r="J424" s="2" t="s">
        <v>923</v>
      </c>
      <c r="K424" s="2" t="s">
        <v>924</v>
      </c>
      <c r="L424" s="3">
        <f>IF(OR(TRIM(I424)="",TRIM(K424)=""),"",IFERROR((VALUE(LEFT(TRIM(I424),4))-VALUE(LEFT(TRIM(K424),4)))*12+VALUE(MID(TRIM(I424),6,2))-VALUE(MID(TRIM(K424),6,2)),""))</f>
        <v>3</v>
      </c>
      <c r="M424" s="2" t="str">
        <f>IF(TRIM(H424)="","",IFERROR(LOOKUP(2,1/(ISNUMBER(SEARCH('منطق دسته‌بندی'!$A$2:$A$187,H424))),'منطق دسته‌بندی'!$B$2:$B$187),"سایر (نیازمند بررسی دستی)"))</f>
        <v>یخساز - قالب/مکانیزم (تنظیم)</v>
      </c>
      <c r="N424" s="2" t="s">
        <v>24</v>
      </c>
      <c r="O424" s="2" t="str" cm="1">
        <f t="array" ref="O424">IF(A424="","",IF(SUMPRODUCT(($B$2:$B$965=B424)*($C$2:$C$965=C424)*($D$2:$D$965=D424)*($E$2:$E$965=E424)*($F$2:$F$965=F424)*($G$2:$G$965=G424)*($H$2:$H$965=H424)*($I$2:$I$965=I424)*($J$2:$J$965=J424)*($K$2:$K$965=K424)*($N$2:$N$965=N424))=1,"خیر",IF(SUMPRODUCT(($B$2:B424=B424)*($C$2:C424=C424)*($D$2:D424=D424)*($E$2:E424=E424)*($F$2:F424=F424)*($G$2:G424=G424)*($H$2:H424=H424)*($I$2:I424=I424)*($J$2:J424=J424)*($K$2:K424=K424)*($N$2:N424=N424))=1,"بله-1","بله")))</f>
        <v>خیر</v>
      </c>
      <c r="P424" s="5" t="str" cm="1">
        <f t="array" ref="P424">IF(A424="","",IF(SUMPRODUCT(($F$2:$F$969=F424)*($I$2:$I$969=I424))=1,"خیر",IF(SUMPRODUCT(($F$2:F424=F424)*($I$2:I424=I424))=1,"بله-1","بله")))</f>
        <v>خیر</v>
      </c>
    </row>
    <row r="425" spans="1:16" ht="18.75" x14ac:dyDescent="0.25">
      <c r="A425" s="2" t="s">
        <v>1317</v>
      </c>
      <c r="B425" s="2" t="s">
        <v>1040</v>
      </c>
      <c r="C425" s="2" t="s">
        <v>1041</v>
      </c>
      <c r="D425" s="2" t="s">
        <v>122</v>
      </c>
      <c r="E425" s="2" t="s">
        <v>123</v>
      </c>
      <c r="F425" s="2" t="s">
        <v>1318</v>
      </c>
      <c r="G425" s="2" t="s">
        <v>1319</v>
      </c>
      <c r="H425" s="2" t="s">
        <v>126</v>
      </c>
      <c r="I425" s="2" t="s">
        <v>1305</v>
      </c>
      <c r="J425" s="2" t="s">
        <v>1320</v>
      </c>
      <c r="K425" s="2" t="s">
        <v>1321</v>
      </c>
      <c r="L425" s="3">
        <f>IF(OR(TRIM(I425)="",TRIM(K425)=""),"",IFERROR((VALUE(LEFT(TRIM(I425),4))-VALUE(LEFT(TRIM(K425),4)))*12+VALUE(MID(TRIM(I425),6,2))-VALUE(MID(TRIM(K425),6,2)),""))</f>
        <v>20</v>
      </c>
      <c r="M425" s="2" t="str">
        <f>IF(TRIM(H425)="","",IFERROR(LOOKUP(2,1/(ISNUMBER(SEARCH('منطق دسته‌بندی'!$A$2:$A$187,H425))),'منطق دسته‌بندی'!$B$2:$B$187),"سایر (نیازمند بررسی دستی)"))</f>
        <v>غیرگارانتی/بدون قطعه</v>
      </c>
      <c r="N425" s="2" t="s">
        <v>24</v>
      </c>
      <c r="O425" s="2" t="str" cm="1">
        <f t="array" ref="O425">IF(A425="","",IF(SUMPRODUCT(($B$2:$B$965=B425)*($C$2:$C$965=C425)*($D$2:$D$965=D425)*($E$2:$E$965=E425)*($F$2:$F$965=F425)*($G$2:$G$965=G425)*($H$2:$H$965=H425)*($I$2:$I$965=I425)*($J$2:$J$965=J425)*($K$2:$K$965=K425)*($N$2:$N$965=N425))=1,"خیر",IF(SUMPRODUCT(($B$2:B425=B425)*($C$2:C425=C425)*($D$2:D425=D425)*($E$2:E425=E425)*($F$2:F425=F425)*($G$2:G425=G425)*($H$2:H425=H425)*($I$2:I425=I425)*($J$2:J425=J425)*($K$2:K425=K425)*($N$2:N425=N425))=1,"بله-1","بله")))</f>
        <v>خیر</v>
      </c>
      <c r="P425" s="5" t="str" cm="1">
        <f t="array" ref="P425">IF(A425="","",IF(SUMPRODUCT(($F$2:$F$969=F425)*($I$2:$I$969=I425))=1,"خیر",IF(SUMPRODUCT(($F$2:F425=F425)*($I$2:I425=I425))=1,"بله-1","بله")))</f>
        <v>خیر</v>
      </c>
    </row>
    <row r="426" spans="1:16" ht="18.75" x14ac:dyDescent="0.25">
      <c r="A426" s="2" t="s">
        <v>876</v>
      </c>
      <c r="B426" s="2" t="s">
        <v>632</v>
      </c>
      <c r="C426" s="2" t="s">
        <v>633</v>
      </c>
      <c r="D426" s="2" t="s">
        <v>122</v>
      </c>
      <c r="E426" s="2" t="s">
        <v>123</v>
      </c>
      <c r="F426" s="2" t="s">
        <v>877</v>
      </c>
      <c r="G426" s="2" t="s">
        <v>125</v>
      </c>
      <c r="H426" s="2" t="s">
        <v>126</v>
      </c>
      <c r="I426" s="2" t="s">
        <v>868</v>
      </c>
      <c r="J426" s="2" t="s">
        <v>878</v>
      </c>
      <c r="K426" s="2" t="s">
        <v>879</v>
      </c>
      <c r="L426" s="3">
        <f>IF(OR(TRIM(I426)="",TRIM(K426)=""),"",IFERROR((VALUE(LEFT(TRIM(I426),4))-VALUE(LEFT(TRIM(K426),4)))*12+VALUE(MID(TRIM(I426),6,2))-VALUE(MID(TRIM(K426),6,2)),""))</f>
        <v>20</v>
      </c>
      <c r="M426" s="2" t="str">
        <f>IF(TRIM(H426)="","",IFERROR(LOOKUP(2,1/(ISNUMBER(SEARCH('منطق دسته‌بندی'!$A$2:$A$187,H426))),'منطق دسته‌بندی'!$B$2:$B$187),"سایر (نیازمند بررسی دستی)"))</f>
        <v>غیرگارانتی/بدون قطعه</v>
      </c>
      <c r="N426" s="2" t="s">
        <v>24</v>
      </c>
      <c r="O426" s="2" t="str" cm="1">
        <f t="array" ref="O426">IF(A426="","",IF(SUMPRODUCT(($B$2:$B$965=B426)*($C$2:$C$965=C426)*($D$2:$D$965=D426)*($E$2:$E$965=E426)*($F$2:$F$965=F426)*($G$2:$G$965=G426)*($H$2:$H$965=H426)*($I$2:$I$965=I426)*($J$2:$J$965=J426)*($K$2:$K$965=K426)*($N$2:$N$965=N426))=1,"خیر",IF(SUMPRODUCT(($B$2:B426=B426)*($C$2:C426=C426)*($D$2:D426=D426)*($E$2:E426=E426)*($F$2:F426=F426)*($G$2:G426=G426)*($H$2:H426=H426)*($I$2:I426=I426)*($J$2:J426=J426)*($K$2:K426=K426)*($N$2:N426=N426))=1,"بله-1","بله")))</f>
        <v>خیر</v>
      </c>
      <c r="P426" s="5" t="str" cm="1">
        <f t="array" ref="P426">IF(A426="","",IF(SUMPRODUCT(($F$2:$F$969=F426)*($I$2:$I$969=I426))=1,"خیر",IF(SUMPRODUCT(($F$2:F426=F426)*($I$2:I426=I426))=1,"بله-1","بله")))</f>
        <v>خیر</v>
      </c>
    </row>
    <row r="427" spans="1:16" ht="37.5" x14ac:dyDescent="0.25">
      <c r="A427" s="2" t="s">
        <v>264</v>
      </c>
      <c r="B427" s="2" t="s">
        <v>16</v>
      </c>
      <c r="C427" s="2" t="s">
        <v>17</v>
      </c>
      <c r="D427" s="2" t="s">
        <v>122</v>
      </c>
      <c r="E427" s="2" t="s">
        <v>123</v>
      </c>
      <c r="F427" s="2" t="s">
        <v>265</v>
      </c>
      <c r="G427" s="2" t="s">
        <v>204</v>
      </c>
      <c r="H427" s="2" t="s">
        <v>266</v>
      </c>
      <c r="I427" s="2" t="s">
        <v>239</v>
      </c>
      <c r="J427" s="2" t="s">
        <v>55</v>
      </c>
      <c r="K427" s="2" t="s">
        <v>267</v>
      </c>
      <c r="L427" s="3">
        <f>IF(OR(TRIM(I427)="",TRIM(K427)=""),"",IFERROR((VALUE(LEFT(TRIM(I427),4))-VALUE(LEFT(TRIM(K427),4)))*12+VALUE(MID(TRIM(I427),6,2))-VALUE(MID(TRIM(K427),6,2)),""))</f>
        <v>16</v>
      </c>
      <c r="M427" s="2" t="str">
        <f>IF(TRIM(H427)="","",IFERROR(LOOKUP(2,1/(ISNUMBER(SEARCH('منطق دسته‌بندی'!$A$2:$A$187,H427))),'منطق دسته‌بندی'!$B$2:$B$187),"سایر (نیازمند بررسی دستی)"))</f>
        <v>خرابی - برد الکترونیک (تعویض)</v>
      </c>
      <c r="N427" s="2" t="s">
        <v>268</v>
      </c>
      <c r="O427" s="2" t="str" cm="1">
        <f t="array" ref="O427">IF(A427="","",IF(SUMPRODUCT(($B$2:$B$965=B427)*($C$2:$C$965=C427)*($D$2:$D$965=D427)*($E$2:$E$965=E427)*($F$2:$F$965=F427)*($G$2:$G$965=G427)*($H$2:$H$965=H427)*($I$2:$I$965=I427)*($J$2:$J$965=J427)*($K$2:$K$965=K427)*($N$2:$N$965=N427))=1,"خیر",IF(SUMPRODUCT(($B$2:B427=B427)*($C$2:C427=C427)*($D$2:D427=D427)*($E$2:E427=E427)*($F$2:F427=F427)*($G$2:G427=G427)*($H$2:H427=H427)*($I$2:I427=I427)*($J$2:J427=J427)*($K$2:K427=K427)*($N$2:N427=N427))=1,"بله-1","بله")))</f>
        <v>خیر</v>
      </c>
      <c r="P427" s="5" t="str" cm="1">
        <f t="array" ref="P427">IF(A427="","",IF(SUMPRODUCT(($F$2:$F$969=F427)*($I$2:$I$969=I427))=1,"خیر",IF(SUMPRODUCT(($F$2:F427=F427)*($I$2:I427=I427))=1,"بله-1","بله")))</f>
        <v>خیر</v>
      </c>
    </row>
    <row r="428" spans="1:16" ht="18.75" x14ac:dyDescent="0.25">
      <c r="A428" s="2" t="s">
        <v>1167</v>
      </c>
      <c r="B428" s="2" t="s">
        <v>1040</v>
      </c>
      <c r="C428" s="2" t="s">
        <v>1041</v>
      </c>
      <c r="D428" s="2" t="s">
        <v>122</v>
      </c>
      <c r="E428" s="2" t="s">
        <v>123</v>
      </c>
      <c r="F428" s="2" t="s">
        <v>1168</v>
      </c>
      <c r="G428" s="2" t="s">
        <v>787</v>
      </c>
      <c r="H428" s="2" t="s">
        <v>788</v>
      </c>
      <c r="I428" s="2" t="s">
        <v>1159</v>
      </c>
      <c r="J428" s="2" t="s">
        <v>1169</v>
      </c>
      <c r="K428" s="2" t="s">
        <v>1170</v>
      </c>
      <c r="L428" s="3">
        <f>IF(OR(TRIM(I428)="",TRIM(K428)=""),"",IFERROR((VALUE(LEFT(TRIM(I428),4))-VALUE(LEFT(TRIM(K428),4)))*12+VALUE(MID(TRIM(I428),6,2))-VALUE(MID(TRIM(K428),6,2)),""))</f>
        <v>20</v>
      </c>
      <c r="M428" s="2" t="str">
        <f>IF(TRIM(H428)="","",IFERROR(LOOKUP(2,1/(ISNUMBER(SEARCH('منطق دسته‌بندی'!$A$2:$A$187,H428))),'منطق دسته‌بندی'!$B$2:$B$187),"سایر (نیازمند بررسی دستی)"))</f>
        <v>خرابی - کمپرسور (تعویض)</v>
      </c>
      <c r="N428" s="2" t="s">
        <v>1171</v>
      </c>
      <c r="O428" s="2" t="str" cm="1">
        <f t="array" ref="O428">IF(A428="","",IF(SUMPRODUCT(($B$2:$B$965=B428)*($C$2:$C$965=C428)*($D$2:$D$965=D428)*($E$2:$E$965=E428)*($F$2:$F$965=F428)*($G$2:$G$965=G428)*($H$2:$H$965=H428)*($I$2:$I$965=I428)*($J$2:$J$965=J428)*($K$2:$K$965=K428)*($N$2:$N$965=N428))=1,"خیر",IF(SUMPRODUCT(($B$2:B428=B428)*($C$2:C428=C428)*($D$2:D428=D428)*($E$2:E428=E428)*($F$2:F428=F428)*($G$2:G428=G428)*($H$2:H428=H428)*($I$2:I428=I428)*($J$2:J428=J428)*($K$2:K428=K428)*($N$2:N428=N428))=1,"بله-1","بله")))</f>
        <v>خیر</v>
      </c>
      <c r="P428" s="5" t="str" cm="1">
        <f t="array" ref="P428">IF(A428="","",IF(SUMPRODUCT(($F$2:$F$969=F428)*($I$2:$I$969=I428))=1,"خیر",IF(SUMPRODUCT(($F$2:F428=F428)*($I$2:I428=I428))=1,"بله-1","بله")))</f>
        <v>خیر</v>
      </c>
    </row>
    <row r="429" spans="1:16" ht="18.75" x14ac:dyDescent="0.25">
      <c r="A429" s="2" t="s">
        <v>302</v>
      </c>
      <c r="B429" s="2" t="s">
        <v>16</v>
      </c>
      <c r="C429" s="2" t="s">
        <v>17</v>
      </c>
      <c r="D429" s="2" t="s">
        <v>1356</v>
      </c>
      <c r="E429" s="2" t="s">
        <v>137</v>
      </c>
      <c r="F429" s="2" t="s">
        <v>303</v>
      </c>
      <c r="G429" s="2" t="s">
        <v>304</v>
      </c>
      <c r="H429" s="2" t="s">
        <v>37</v>
      </c>
      <c r="I429" s="2" t="s">
        <v>276</v>
      </c>
      <c r="J429" s="2" t="s">
        <v>305</v>
      </c>
      <c r="K429" s="2" t="s">
        <v>233</v>
      </c>
      <c r="L429" s="3">
        <f>IF(OR(TRIM(I429)="",TRIM(K429)=""),"",IFERROR((VALUE(LEFT(TRIM(I429),4))-VALUE(LEFT(TRIM(K429),4)))*12+VALUE(MID(TRIM(I429),6,2))-VALUE(MID(TRIM(K429),6,2)),""))</f>
        <v>0</v>
      </c>
      <c r="M429" s="2" t="str">
        <f>IF(TRIM(H429)="","",IFERROR(LOOKUP(2,1/(ISNUMBER(SEARCH('منطق دسته‌بندی'!$A$2:$A$187,H429))),'منطق دسته‌بندی'!$B$2:$B$187),"سایر (نیازمند بررسی دستی)"))</f>
        <v>خرابی - برد الکترونیک (تعویض)</v>
      </c>
      <c r="N429" s="2" t="s">
        <v>40</v>
      </c>
      <c r="O429" s="2" t="str" cm="1">
        <f t="array" ref="O429">IF(A429="","",IF(SUMPRODUCT(($B$2:$B$965=B429)*($C$2:$C$965=C429)*($D$2:$D$965=D429)*($E$2:$E$965=E429)*($F$2:$F$965=F429)*($G$2:$G$965=G429)*($H$2:$H$965=H429)*($I$2:$I$965=I429)*($J$2:$J$965=J429)*($K$2:$K$965=K429)*($N$2:$N$965=N429))=1,"خیر",IF(SUMPRODUCT(($B$2:B429=B429)*($C$2:C429=C429)*($D$2:D429=D429)*($E$2:E429=E429)*($F$2:F429=F429)*($G$2:G429=G429)*($H$2:H429=H429)*($I$2:I429=I429)*($J$2:J429=J429)*($K$2:K429=K429)*($N$2:N429=N429))=1,"بله-1","بله")))</f>
        <v>خیر</v>
      </c>
      <c r="P429" s="5" t="str" cm="1">
        <f t="array" ref="P429">IF(A429="","",IF(SUMPRODUCT(($F$2:$F$969=F429)*($I$2:$I$969=I429))=1,"خیر",IF(SUMPRODUCT(($F$2:F429=F429)*($I$2:I429=I429))=1,"بله-1","بله")))</f>
        <v>خیر</v>
      </c>
    </row>
    <row r="430" spans="1:16" ht="18.75" x14ac:dyDescent="0.25">
      <c r="A430" s="2" t="s">
        <v>306</v>
      </c>
      <c r="B430" s="2" t="s">
        <v>16</v>
      </c>
      <c r="C430" s="2" t="s">
        <v>17</v>
      </c>
      <c r="D430" s="2" t="s">
        <v>1356</v>
      </c>
      <c r="E430" s="2" t="s">
        <v>137</v>
      </c>
      <c r="F430" s="2" t="s">
        <v>307</v>
      </c>
      <c r="G430" s="2" t="s">
        <v>84</v>
      </c>
      <c r="H430" s="2" t="s">
        <v>308</v>
      </c>
      <c r="I430" s="2" t="s">
        <v>309</v>
      </c>
      <c r="J430" s="2" t="s">
        <v>305</v>
      </c>
      <c r="K430" s="2" t="s">
        <v>310</v>
      </c>
      <c r="L430" s="3">
        <f>IF(OR(TRIM(I430)="",TRIM(K430)=""),"",IFERROR((VALUE(LEFT(TRIM(I430),4))-VALUE(LEFT(TRIM(K430),4)))*12+VALUE(MID(TRIM(I430),6,2))-VALUE(MID(TRIM(K430),6,2)),""))</f>
        <v>2</v>
      </c>
      <c r="M430" s="2" t="str">
        <f>IF(TRIM(H430)="","",IFERROR(LOOKUP(2,1/(ISNUMBER(SEARCH('منطق دسته‌بندی'!$A$2:$A$187,H430))),'منطق دسته‌بندی'!$B$2:$B$187),"سایر (نیازمند بررسی دستی)"))</f>
        <v>نشتی - شیلنگ (تعمیر/آب‌بندی)</v>
      </c>
      <c r="N430" s="2" t="s">
        <v>24</v>
      </c>
      <c r="O430" s="2" t="str" cm="1">
        <f t="array" ref="O430">IF(A430="","",IF(SUMPRODUCT(($B$2:$B$965=B430)*($C$2:$C$965=C430)*($D$2:$D$965=D430)*($E$2:$E$965=E430)*($F$2:$F$965=F430)*($G$2:$G$965=G430)*($H$2:$H$965=H430)*($I$2:$I$965=I430)*($J$2:$J$965=J430)*($K$2:$K$965=K430)*($N$2:$N$965=N430))=1,"خیر",IF(SUMPRODUCT(($B$2:B430=B430)*($C$2:C430=C430)*($D$2:D430=D430)*($E$2:E430=E430)*($F$2:F430=F430)*($G$2:G430=G430)*($H$2:H430=H430)*($I$2:I430=I430)*($J$2:J430=J430)*($K$2:K430=K430)*($N$2:N430=N430))=1,"بله-1","بله")))</f>
        <v>خیر</v>
      </c>
      <c r="P430" s="5" t="str" cm="1">
        <f t="array" ref="P430">IF(A430="","",IF(SUMPRODUCT(($F$2:$F$969=F430)*($I$2:$I$969=I430))=1,"خیر",IF(SUMPRODUCT(($F$2:F430=F430)*($I$2:I430=I430))=1,"بله-1","بله")))</f>
        <v>خیر</v>
      </c>
    </row>
    <row r="431" spans="1:16" s="12" customFormat="1" ht="18.75" x14ac:dyDescent="0.25">
      <c r="A431" s="9" t="s">
        <v>232</v>
      </c>
      <c r="B431" s="9" t="s">
        <v>16</v>
      </c>
      <c r="C431" s="9" t="s">
        <v>17</v>
      </c>
      <c r="D431" s="9" t="s">
        <v>1356</v>
      </c>
      <c r="E431" s="9" t="s">
        <v>137</v>
      </c>
      <c r="F431" s="9" t="s">
        <v>199</v>
      </c>
      <c r="G431" s="9" t="s">
        <v>84</v>
      </c>
      <c r="H431" s="9" t="s">
        <v>200</v>
      </c>
      <c r="I431" s="9" t="s">
        <v>47</v>
      </c>
      <c r="J431" s="9" t="s">
        <v>201</v>
      </c>
      <c r="K431" s="9" t="s">
        <v>47</v>
      </c>
      <c r="L431" s="10">
        <f>IF(OR(TRIM(I431)="",TRIM(K431)=""),"",IFERROR((VALUE(LEFT(TRIM(I431),4))-VALUE(LEFT(TRIM(K431),4)))*12+VALUE(MID(TRIM(I431),6,2))-VALUE(MID(TRIM(K431),6,2)),""))</f>
        <v>0</v>
      </c>
      <c r="M431" s="9" t="str">
        <f>IF(TRIM(H431)="","",IFERROR(LOOKUP(2,1/(ISNUMBER(SEARCH('منطق دسته‌بندی'!$A$2:$A$187,H431))),'منطق دسته‌بندی'!$B$2:$B$187),"سایر (نیازمند بررسی دستی)"))</f>
        <v>نشتی - جاپودری (تعمیر/آب‌بندی)</v>
      </c>
      <c r="N431" s="9" t="s">
        <v>24</v>
      </c>
      <c r="O431" s="9" t="str" cm="1">
        <f t="array" ref="O431">IF(A431="","",IF(SUMPRODUCT(($B$2:$B$965=B431)*($C$2:$C$965=C431)*($D$2:$D$965=D431)*($E$2:$E$965=E431)*($F$2:$F$965=F431)*($G$2:$G$965=G431)*($H$2:$H$965=H431)*($I$2:$I$965=I431)*($J$2:$J$965=J431)*($K$2:$K$965=K431)*($N$2:$N$965=N431))=1,"خیر",IF(SUMPRODUCT(($B$2:B431=B431)*($C$2:C431=C431)*($D$2:D431=D431)*($E$2:E431=E431)*($F$2:F431=F431)*($G$2:G431=G431)*($H$2:H431=H431)*($I$2:I431=I431)*($J$2:J431=J431)*($K$2:K431=K431)*($N$2:N431=N431))=1,"بله-1","بله")))</f>
        <v>خیر</v>
      </c>
      <c r="P431" s="11" t="str" cm="1">
        <f t="array" ref="P431">IF(A431="","",IF(SUMPRODUCT(($F$2:$F$969=F431)*($I$2:$I$969=I431))=1,"خیر",IF(SUMPRODUCT(($F$2:F431=F431)*($I$2:I431=I431))=1,"بله-1","بله")))</f>
        <v>خیر</v>
      </c>
    </row>
    <row r="432" spans="1:16" ht="18.75" x14ac:dyDescent="0.25">
      <c r="A432" s="2" t="s">
        <v>666</v>
      </c>
      <c r="B432" s="2" t="s">
        <v>632</v>
      </c>
      <c r="C432" s="2" t="s">
        <v>633</v>
      </c>
      <c r="D432" s="2" t="s">
        <v>1356</v>
      </c>
      <c r="E432" s="2" t="s">
        <v>18</v>
      </c>
      <c r="F432" s="2" t="s">
        <v>667</v>
      </c>
      <c r="G432" s="2" t="s">
        <v>668</v>
      </c>
      <c r="H432" s="2" t="s">
        <v>139</v>
      </c>
      <c r="I432" s="2" t="s">
        <v>660</v>
      </c>
      <c r="J432" s="2" t="s">
        <v>669</v>
      </c>
      <c r="K432" s="2" t="s">
        <v>670</v>
      </c>
      <c r="L432" s="3">
        <f>IF(OR(TRIM(I432)="",TRIM(K432)=""),"",IFERROR((VALUE(LEFT(TRIM(I432),4))-VALUE(LEFT(TRIM(K432),4)))*12+VALUE(MID(TRIM(I432),6,2))-VALUE(MID(TRIM(K432),6,2)),""))</f>
        <v>21</v>
      </c>
      <c r="M432" s="2" t="str">
        <f>IF(TRIM(H432)="","",IFERROR(LOOKUP(2,1/(ISNUMBER(SEARCH('منطق دسته‌بندی'!$A$2:$A$187,H432))),'منطق دسته‌بندی'!$B$2:$B$187),"سایر (نیازمند بررسی دستی)"))</f>
        <v>تراز/لرزش - نصب (رگلاژ پایه)</v>
      </c>
      <c r="N432" s="2" t="s">
        <v>158</v>
      </c>
      <c r="O432" s="2" t="str" cm="1">
        <f t="array" ref="O432">IF(A432="","",IF(SUMPRODUCT(($B$2:$B$965=B432)*($C$2:$C$965=C432)*($D$2:$D$965=D432)*($E$2:$E$965=E432)*($F$2:$F$965=F432)*($G$2:$G$965=G432)*($H$2:$H$965=H432)*($I$2:$I$965=I432)*($J$2:$J$965=J432)*($K$2:$K$965=K432)*($N$2:$N$965=N432))=1,"خیر",IF(SUMPRODUCT(($B$2:B432=B432)*($C$2:C432=C432)*($D$2:D432=D432)*($E$2:E432=E432)*($F$2:F432=F432)*($G$2:G432=G432)*($H$2:H432=H432)*($I$2:I432=I432)*($J$2:J432=J432)*($K$2:K432=K432)*($N$2:N432=N432))=1,"بله-1","بله")))</f>
        <v>خیر</v>
      </c>
      <c r="P432" s="5" t="str" cm="1">
        <f t="array" ref="P432">IF(A432="","",IF(SUMPRODUCT(($F$2:$F$969=F432)*($I$2:$I$969=I432))=1,"خیر",IF(SUMPRODUCT(($F$2:F432=F432)*($I$2:I432=I432))=1,"بله-1","بله")))</f>
        <v>خیر</v>
      </c>
    </row>
    <row r="433" spans="1:16" ht="37.5" x14ac:dyDescent="0.25">
      <c r="A433" s="2" t="s">
        <v>255</v>
      </c>
      <c r="B433" s="2" t="s">
        <v>16</v>
      </c>
      <c r="C433" s="2" t="s">
        <v>17</v>
      </c>
      <c r="D433" s="2" t="s">
        <v>1356</v>
      </c>
      <c r="E433" s="2" t="s">
        <v>18</v>
      </c>
      <c r="F433" s="2" t="s">
        <v>256</v>
      </c>
      <c r="G433" s="2" t="s">
        <v>257</v>
      </c>
      <c r="H433" s="2" t="s">
        <v>258</v>
      </c>
      <c r="I433" s="2" t="s">
        <v>239</v>
      </c>
      <c r="J433" s="2" t="s">
        <v>259</v>
      </c>
      <c r="K433" s="2" t="s">
        <v>260</v>
      </c>
      <c r="L433" s="3">
        <f>IF(OR(TRIM(I433)="",TRIM(K433)=""),"",IFERROR((VALUE(LEFT(TRIM(I433),4))-VALUE(LEFT(TRIM(K433),4)))*12+VALUE(MID(TRIM(I433),6,2))-VALUE(MID(TRIM(K433),6,2)),""))</f>
        <v>18</v>
      </c>
      <c r="M433" s="2" t="str">
        <f>IF(TRIM(H433)="","",IFERROR(LOOKUP(2,1/(ISNUMBER(SEARCH('منطق دسته‌بندی'!$A$2:$A$187,H433))),'منطق دسته‌بندی'!$B$2:$B$187),"سایر (نیازمند بررسی دستی)"))</f>
        <v>خرابی - برد الکترونیک (تعویض)</v>
      </c>
      <c r="N433" s="2" t="s">
        <v>40</v>
      </c>
      <c r="O433" s="2" t="str" cm="1">
        <f t="array" ref="O433">IF(A433="","",IF(SUMPRODUCT(($B$2:$B$965=B433)*($C$2:$C$965=C433)*($D$2:$D$965=D433)*($E$2:$E$965=E433)*($F$2:$F$965=F433)*($G$2:$G$965=G433)*($H$2:$H$965=H433)*($I$2:$I$965=I433)*($J$2:$J$965=J433)*($K$2:$K$965=K433)*($N$2:$N$965=N433))=1,"خیر",IF(SUMPRODUCT(($B$2:B433=B433)*($C$2:C433=C433)*($D$2:D433=D433)*($E$2:E433=E433)*($F$2:F433=F433)*($G$2:G433=G433)*($H$2:H433=H433)*($I$2:I433=I433)*($J$2:J433=J433)*($K$2:K433=K433)*($N$2:N433=N433))=1,"بله-1","بله")))</f>
        <v>خیر</v>
      </c>
      <c r="P433" s="5" t="str" cm="1">
        <f t="array" ref="P433">IF(A433="","",IF(SUMPRODUCT(($F$2:$F$969=F433)*($I$2:$I$969=I433))=1,"خیر",IF(SUMPRODUCT(($F$2:F433=F433)*($I$2:I433=I433))=1,"بله-1","بله")))</f>
        <v>خیر</v>
      </c>
    </row>
    <row r="434" spans="1:16" ht="56.25" x14ac:dyDescent="0.25">
      <c r="A434" s="2">
        <v>210024645</v>
      </c>
      <c r="B434" s="2" t="s">
        <v>1950</v>
      </c>
      <c r="C434" s="2" t="s">
        <v>1951</v>
      </c>
      <c r="D434" s="2" t="s">
        <v>1356</v>
      </c>
      <c r="E434" s="2" t="s">
        <v>1362</v>
      </c>
      <c r="F434" s="2" t="s">
        <v>1959</v>
      </c>
      <c r="G434" s="2" t="s">
        <v>1976</v>
      </c>
      <c r="H434" s="2" t="s">
        <v>389</v>
      </c>
      <c r="I434" s="2" t="s">
        <v>1999</v>
      </c>
      <c r="J434" s="2" t="s">
        <v>390</v>
      </c>
      <c r="K434" s="2" t="s">
        <v>1193</v>
      </c>
      <c r="L434" s="3">
        <f>IF(OR(TRIM(I434)="",TRIM(K434)=""),"",IFERROR((VALUE(LEFT(TRIM(I434),4))-VALUE(LEFT(TRIM(K434),4)))*12+VALUE(MID(TRIM(I434),6,2))-VALUE(MID(TRIM(K434),6,2)),""))</f>
        <v>26</v>
      </c>
      <c r="M434" s="2" t="str">
        <f>IF(OR(ISNUMBER(SEARCH("بدون مورد",H434)),ISNUMBER(SEARCH("غير گارانتي",H434)),ISNUMBER(SEARCH("غیر گارانتی",H434)),ISNUMBER(SEARCH("بدون اجرت",H434)),ISNUMBER(SEARCH("فيلتر",H434)),ISNUMBER(SEARCH("فیلتر",H434))),"غیرگارانتی/بدون قطعه",IF(OR(ISNUMBER(SEARCH("ريست",H434)),ISNUMBER(SEARCH("ریست",H434))),"ریست نرم‌افزاری (بدون قطعه)",IF(OR(ISNUMBER(SEARCH("تعویض محصول",H434)),ISNUMBER(SEARCH("تعویض دستگاه",H434))),"تعویض کامل دستگاه (Replacement)",IF(ISNUMBER(SEARCH("پمپ",H434)),IF(ISNUMBER(SEARCH("نشت",H434)),"نشتی - پمپ تخلیه (تعمیر/آب‌بندی)","خرابی - پمپ تخلیه (تعویض)"),IF(ISNUMBER(SEARCH("کمپرسور",H434)),"خرابی - کمپرسور (تعویض)",IF(ISNUMBER(SEARCH("کمک فنر",H434)),"خرابی - کمک فنر (تعویض)",IF(ISNUMBER(SEARCH("لولا",H434)),"مکانیزم درب - لولا (تعویض)",IF(OR(ISNUMBER(SEARCH("قلاب",H434)),ISNUMBER(SEARCH("ميکروسوئيچ",H434)),ISNUMBER(SEARCH("میکروسوئیچ",H434))),"مکانیزم درب - میکروسوئیچ/قلاب (تعویض/تنظیم)",IF(ISNUMBER(SEARCH("زبانه",H434)),"مکانیزم درب - زبانه (تعویض)",IF(OR(ISNUMBER(SEARCH("شيلنگ",H434)),ISNUMBER(SEARCH("شیلنگ",H434))),IF(OR(ISNUMBER(SEARCH("نشتی",H434)),ISNUMBER(SEARCH("نشتي",H434))),"نشتی - شیلنگ (تعمیر/آب‌بندی)",IF(OR(ISNUMBER(SEARCH("يخ",H434)),ISNUMBER(SEARCH("یخ",H434))),"شیلنگ یخساز - یخ‌زدگی (بازبینی)","شیلنگ - برخورد/لهیدگی (بازبینی)")),IF(OR(ISNUMBER(SEARCH("تنظيم ديسپل",H434)),ISNUMBER(SEARCH("تنظیم دیسپل",H434)),ISNUMBER(SEARCH("تنظيم صفحه نمايش",H434)),ISNUMBER(SEARCH("تنظیم صفحه نمایش",H434))),"تنظیم - تنظیمات دستگاه/دیسپلی (تعمیر)",IF(OR(ISNUMBER(SEARCH("برد",H434)),ISNUMBER(SEARCH("سوکت",H434)),ISNUMBER(SEARCH("ديسپل",H434)),ISNUMBER(SEARCH("دیسپل",H434))),"خرابی - برد الکترونیک (تعویض)",IF(OR(ISNUMBER(SEARCH("يخساز",H434)),ISNUMBER(SEARCH("یخساز",H434)),ISNUMBER(SEARCH("دمپر",H434))),IF(OR(ISNUMBER(SEARCH("خرابی",H434)),ISNUMBER(SEARCH("خراب",H434)),ISNUMBER(SEARCH("عدم کارکرد",H434)),ISNUMBER(SEARCH("عدم عملکرد",H434))),"یخساز - خرابی موتور/سنسور/برد (تعویض)","یخساز - تنظیم/عایق (تعمیر)"),IF(OR(ISNUMBER(SEARCH("لاستيک",H434)),ISNUMBER(SEARCH("لاستیک",H434))),"لاستیک درزگیر - دفرمگی/پارگی (تعویض)",IF(OR(ISNUMBER(SEARCH("گسکت",H434)),ISNUMBER(SEARCH("گسگت",H434))),"لاستیک درزگیر - دفرمگی/پارگی (تعویض)",IF(ISNUMBER(SEARCH("مخزن نمک",H434)),"نشتی - درب مخزن نمک (تعمیر/آب‌بندی)",IF(ISNUMBER(SEARCH("براکت",H434)),"نشتی - براکت ریل (تعمیر/آب‌بندی)",IF(ISNUMBER(SEARCH("جاپودر",H434)),"نشتی - جاپودری (تعمیر/آب‌بندی)",IF(ISNUMBER(SEARCH("مقسم",H434)),"نشتی - مقسم آب (تعمیر/آب‌بندی)",IF(OR(ISNUMBER(SEARCH("سنسور دما",H434)),ISNUMBER(SEARCH("ترموستات",H434))),"خرابی - ترموستات (تعویض)",IF(OR(ISNUMBER(SEARCH("هيدروستات",H434)),ISNUMBER(SEARCH("هیدروستات",H434))),"خرابی - هیدروستات (تعویض)",IF(OR(ISNUMBER(SEARCH("بلبرينگ",H434)),ISNUMBER(SEARCH("بلبرینگ",H434))),"خرابی - بلبرینگ (تعویض)",IF(OR(ISNUMBER(SEARCH("شيربرق",H434)),ISNUMBER(SEARCH("شیربرق",H434))),"خرابی - شیربرقی (تعویض)",IF(OR(ISNUMBER(SEARCH("واتر جت",H434)),ISNUMBER(SEARCH("واترجت",H434))),"خرابی - واترجت (تعویض)",IF(OR(ISNUMBER(SEARCH("سيم",H434)),ISNUMBER(SEARCH("سیم",H434)),ISNUMBER(SEARCH("اتصال",H434))),"سیم‌کشی/اتصالات (تعویض/بازبینی)",IF(OR(ISNUMBER(SEARCH("تصوير",H434)),ISNUMBER(SEARCH("تصویر",H434))),"برد نمایش تلویزیون (تعویض)",IF(OR(ISNUMBER(SEARCH("ريموت",H434)),ISNUMBER(SEARCH("ریموت",H434))),"ریموت کنترل (تعویض/تعمیر)",IF(OR(ISNUMBER(SEARCH("ال اي دي",H434)),ISNUMBER(SEARCH("ال ای دی",H434)),ISNUMBER(SEARCH("LED",H434))),"خرابی - لامپ/LED داخلی (تعویض)",IF(ISNUMBER(SEARCH("زنگ زدگ",H434)),"زنگ‌زدگی بدنه/قطعه (تعویض)",IF(OR(ISNUMBER(SEARCH("قطعات تزئين",H434)),ISNUMBER(SEARCH("قطعات تزئین",H434))),"قطعات تزئینی - شکستگی/کسری (تعویض)",IF(ISNUMBER(SEARCH("سبد",H434)),"سبد ظرفشویی - شکستگی (تعویض)",IF(ISNUMBER(SEARCH("تاب درام",H434)),"خرابی - تاب برداشتن درام (تعویض)",IF(ISNUMBER(SEARCH("درام",H434)),"خرابی - سایر ایراد درام (تعویض)",IF(ISNUMBER(SEARCH("موتور",H434)),"خرابی - موتور (تعویض)",IF(ISNUMBER(SEARCH("تسمه",H434)),"خرابی - تسمه (تعویض)",IF(OR(ISNUMBER(SEARCH("پيچ ولوم",H434)),ISNUMBER(SEARCH("پیچ ولوم",H434))),"تنظیم - پیچ ولوم/دکمه (تعمیر)",IF(OR(ISNUMBER(SEARCH("کسري قطعات",H434)),ISNUMBER(SEARCH("کسری قطعات",H434))),"کسری قطعات تزئینی (تعویض)",IF(ISNUMBER(SEARCH("پرچ",H434)),"پرچ/بدنه کابین(تعمیر)",IF(OR(ISNUMBER(SEARCH("نشت",H434)),ISNUMBER(SEARCH("آبريزش",H434)),ISNUMBER(SEARCH("آبریزش",H434))),"نشتی آب - محل نامشخص (نیازمند بازدید)",IF(ISNUMBER(SEARCH("درب",H434)),"سایر اجزای درب (بازبینی)",IF(ISNUMBER(SEARCH("ضربه",H434)),"بدنه/کابین - ضربه (بازبینی/تعویض پنل)",IF(ISNUMBER(SEARCH("تراز",H434)),"تراز/لرزش - نصب (رگلاژ پایه)",IF(OR(ISNUMBER(SEARCH("تعویض",H434)),ISNUMBER(SEARCH("تعويض",H434))),"تعویض کامل دستگاه (Replacement)","سایر (نیازمند بررسی دستی)")))))))))))))))))))))))))))))))))))))))))))</f>
        <v>خرابی - تاب برداشتن درام (تعویض)</v>
      </c>
      <c r="N434" s="2" t="s">
        <v>2013</v>
      </c>
      <c r="O434" s="2" t="str" cm="1">
        <f t="array" ref="O434">IF(A434="","",IF(SUMPRODUCT(($B$2:$B$965=B434)*($C$2:$C$965=C434)*($D$2:$D$965=D434)*($E$2:$E$965=E434)*($F$2:$F$965=F434)*($G$2:$G$965=G434)*($H$2:$H$965=H434)*($I$2:$I$965=I434)*($J$2:$J$965=J434)*($K$2:$K$965=K434)*($N$2:$N$965=N434))=1,"خیر",IF(SUMPRODUCT(($B$2:B434=B434)*($C$2:C434=C434)*($D$2:D434=D434)*($E$2:E434=E434)*($F$2:F434=F434)*($G$2:G434=G434)*($H$2:H434=H434)*($I$2:I434=I434)*($J$2:J434=J434)*($K$2:K434=K434)*($N$2:N434=N434))=1,"بله-1","بله")))</f>
        <v>خیر</v>
      </c>
      <c r="P434" s="5" t="str" cm="1">
        <f t="array" ref="P434">IF(A434="","",IF(SUMPRODUCT(($F$2:$F$969=F434)*($I$2:$I$969=I434))=1,"خیر",IF(SUMPRODUCT(($F$2:F434=F434)*($I$2:I434=I434))=1,"بله-1","بله")))</f>
        <v>خیر</v>
      </c>
    </row>
    <row r="435" spans="1:16" ht="18.75" x14ac:dyDescent="0.25">
      <c r="A435" s="2" t="s">
        <v>386</v>
      </c>
      <c r="B435" s="2" t="s">
        <v>16</v>
      </c>
      <c r="C435" s="2" t="s">
        <v>17</v>
      </c>
      <c r="D435" s="2" t="s">
        <v>1356</v>
      </c>
      <c r="E435" s="2" t="s">
        <v>18</v>
      </c>
      <c r="F435" s="2" t="s">
        <v>387</v>
      </c>
      <c r="G435" s="2" t="s">
        <v>388</v>
      </c>
      <c r="H435" s="2" t="s">
        <v>389</v>
      </c>
      <c r="I435" s="2" t="s">
        <v>364</v>
      </c>
      <c r="J435" s="2" t="s">
        <v>390</v>
      </c>
      <c r="K435" s="2" t="s">
        <v>391</v>
      </c>
      <c r="L435" s="3">
        <f>IF(OR(TRIM(I435)="",TRIM(K435)=""),"",IFERROR((VALUE(LEFT(TRIM(I435),4))-VALUE(LEFT(TRIM(K435),4)))*12+VALUE(MID(TRIM(I435),6,2))-VALUE(MID(TRIM(K435),6,2)),""))</f>
        <v>9</v>
      </c>
      <c r="M435" s="2" t="str">
        <f>IF(TRIM(H435)="","",IFERROR(LOOKUP(2,1/(ISNUMBER(SEARCH('منطق دسته‌بندی'!$A$2:$A$187,H435))),'منطق دسته‌بندی'!$B$2:$B$187),"سایر (نیازمند بررسی دستی)"))</f>
        <v>خرابی - تاب برداشتن درام (تعویض)</v>
      </c>
      <c r="N435" s="2" t="s">
        <v>392</v>
      </c>
      <c r="O435" s="2" t="str" cm="1">
        <f t="array" ref="O435">IF(A435="","",IF(SUMPRODUCT(($B$2:$B$965=B435)*($C$2:$C$965=C435)*($D$2:$D$965=D435)*($E$2:$E$965=E435)*($F$2:$F$965=F435)*($G$2:$G$965=G435)*($H$2:$H$965=H435)*($I$2:$I$965=I435)*($J$2:$J$965=J435)*($K$2:$K$965=K435)*($N$2:$N$965=N435))=1,"خیر",IF(SUMPRODUCT(($B$2:B435=B435)*($C$2:C435=C435)*($D$2:D435=D435)*($E$2:E435=E435)*($F$2:F435=F435)*($G$2:G435=G435)*($H$2:H435=H435)*($I$2:I435=I435)*($J$2:J435=J435)*($K$2:K435=K435)*($N$2:N435=N435))=1,"بله-1","بله")))</f>
        <v>خیر</v>
      </c>
      <c r="P435" s="5" t="str" cm="1">
        <f t="array" ref="P435">IF(A435="","",IF(SUMPRODUCT(($F$2:$F$969=F435)*($I$2:$I$969=I435))=1,"خیر",IF(SUMPRODUCT(($F$2:F435=F435)*($I$2:I435=I435))=1,"بله-1","بله")))</f>
        <v>خیر</v>
      </c>
    </row>
    <row r="436" spans="1:16" ht="37.5" x14ac:dyDescent="0.25">
      <c r="A436" s="2" t="s">
        <v>325</v>
      </c>
      <c r="B436" s="2" t="s">
        <v>16</v>
      </c>
      <c r="C436" s="2" t="s">
        <v>17</v>
      </c>
      <c r="D436" s="2" t="s">
        <v>1356</v>
      </c>
      <c r="E436" s="2" t="s">
        <v>18</v>
      </c>
      <c r="F436" s="2" t="s">
        <v>326</v>
      </c>
      <c r="G436" s="2" t="s">
        <v>327</v>
      </c>
      <c r="H436" s="2" t="s">
        <v>328</v>
      </c>
      <c r="I436" s="2" t="s">
        <v>309</v>
      </c>
      <c r="J436" s="2" t="s">
        <v>329</v>
      </c>
      <c r="K436" s="2" t="s">
        <v>29</v>
      </c>
      <c r="L436" s="3">
        <f>IF(OR(TRIM(I436)="",TRIM(K436)=""),"",IFERROR((VALUE(LEFT(TRIM(I436),4))-VALUE(LEFT(TRIM(K436),4)))*12+VALUE(MID(TRIM(I436),6,2))-VALUE(MID(TRIM(K436),6,2)),""))</f>
        <v>0</v>
      </c>
      <c r="M436" s="2" t="str">
        <f>IF(TRIM(H436)="","",IFERROR(LOOKUP(2,1/(ISNUMBER(SEARCH('منطق دسته‌بندی'!$A$2:$A$187,H436))),'منطق دسته‌بندی'!$B$2:$B$187),"سایر (نیازمند بررسی دستی)"))</f>
        <v>مکانیزم درب - میکروسوئیچ/قلاب (تعویض/تنظیم)</v>
      </c>
      <c r="N436" s="2" t="s">
        <v>330</v>
      </c>
      <c r="O436" s="2" t="str" cm="1">
        <f t="array" ref="O436">IF(A436="","",IF(SUMPRODUCT(($B$2:$B$965=B436)*($C$2:$C$965=C436)*($D$2:$D$965=D436)*($E$2:$E$965=E436)*($F$2:$F$965=F436)*($G$2:$G$965=G436)*($H$2:$H$965=H436)*($I$2:$I$965=I436)*($J$2:$J$965=J436)*($K$2:$K$965=K436)*($N$2:$N$965=N436))=1,"خیر",IF(SUMPRODUCT(($B$2:B436=B436)*($C$2:C436=C436)*($D$2:D436=D436)*($E$2:E436=E436)*($F$2:F436=F436)*($G$2:G436=G436)*($H$2:H436=H436)*($I$2:I436=I436)*($J$2:J436=J436)*($K$2:K436=K436)*($N$2:N436=N436))=1,"بله-1","بله")))</f>
        <v>خیر</v>
      </c>
      <c r="P436" s="5" t="str" cm="1">
        <f t="array" ref="P436">IF(A436="","",IF(SUMPRODUCT(($F$2:$F$969=F436)*($I$2:$I$969=I436))=1,"خیر",IF(SUMPRODUCT(($F$2:F436=F436)*($I$2:I436=I436))=1,"بله-1","بله")))</f>
        <v>خیر</v>
      </c>
    </row>
    <row r="437" spans="1:16" ht="18.75" x14ac:dyDescent="0.25">
      <c r="A437" s="2" t="s">
        <v>15</v>
      </c>
      <c r="B437" s="2" t="s">
        <v>16</v>
      </c>
      <c r="C437" s="2" t="s">
        <v>17</v>
      </c>
      <c r="D437" s="2" t="s">
        <v>1356</v>
      </c>
      <c r="E437" s="2" t="s">
        <v>18</v>
      </c>
      <c r="F437" s="2" t="s">
        <v>19</v>
      </c>
      <c r="G437" s="2" t="s">
        <v>20</v>
      </c>
      <c r="H437" s="2" t="s">
        <v>21</v>
      </c>
      <c r="I437" s="2" t="s">
        <v>22</v>
      </c>
      <c r="J437" s="2" t="s">
        <v>23</v>
      </c>
      <c r="K437" s="2" t="s">
        <v>23</v>
      </c>
      <c r="L437" s="3">
        <f>IF(OR(TRIM(I437)="",TRIM(K437)=""),"",IFERROR((VALUE(LEFT(TRIM(I437),4))-VALUE(LEFT(TRIM(K437),4)))*12+VALUE(MID(TRIM(I437),6,2))-VALUE(MID(TRIM(K437),6,2)),""))</f>
        <v>19</v>
      </c>
      <c r="M437" s="2" t="str">
        <f>IF(TRIM(H437)="","",IFERROR(LOOKUP(2,1/(ISNUMBER(SEARCH('منطق دسته‌بندی'!$A$2:$A$187,H437))),'منطق دسته‌بندی'!$B$2:$B$187),"سایر (نیازمند بررسی دستی)"))</f>
        <v>لاستیک درزگیر - دفرمگی/پارگی (تعویض)</v>
      </c>
      <c r="N437" s="2" t="s">
        <v>24</v>
      </c>
      <c r="O437" s="2" t="str" cm="1">
        <f t="array" ref="O437">IF(A437="","",IF(SUMPRODUCT(($B$2:$B$965=B437)*($C$2:$C$965=C437)*($D$2:$D$965=D437)*($E$2:$E$965=E437)*($F$2:$F$965=F437)*($G$2:$G$965=G437)*($H$2:$H$965=H437)*($I$2:$I$965=I437)*($J$2:$J$965=J437)*($K$2:$K$965=K437)*($N$2:$N$965=N437))=1,"خیر",IF(SUMPRODUCT(($B$2:B437=B437)*($C$2:C437=C437)*($D$2:D437=D437)*($E$2:E437=E437)*($F$2:F437=F437)*($G$2:G437=G437)*($H$2:H437=H437)*($I$2:I437=I437)*($J$2:J437=J437)*($K$2:K437=K437)*($N$2:N437=N437))=1,"بله-1","بله")))</f>
        <v>خیر</v>
      </c>
      <c r="P437" s="5" t="str" cm="1">
        <f t="array" ref="P437">IF(A437="","",IF(SUMPRODUCT(($F$2:$F$969=F437)*($I$2:$I$969=I437))=1,"خیر",IF(SUMPRODUCT(($F$2:F437=F437)*($I$2:I437=I437))=1,"بله-1","بله")))</f>
        <v>خیر</v>
      </c>
    </row>
    <row r="438" spans="1:16" ht="18.75" x14ac:dyDescent="0.25">
      <c r="A438" s="2" t="s">
        <v>776</v>
      </c>
      <c r="B438" s="2" t="s">
        <v>632</v>
      </c>
      <c r="C438" s="2" t="s">
        <v>633</v>
      </c>
      <c r="D438" s="2" t="s">
        <v>1356</v>
      </c>
      <c r="E438" s="2" t="s">
        <v>34</v>
      </c>
      <c r="F438" s="2" t="s">
        <v>777</v>
      </c>
      <c r="G438" s="2" t="s">
        <v>778</v>
      </c>
      <c r="H438" s="2" t="s">
        <v>37</v>
      </c>
      <c r="I438" s="2" t="s">
        <v>773</v>
      </c>
      <c r="J438" s="2" t="s">
        <v>779</v>
      </c>
      <c r="K438" s="2" t="s">
        <v>181</v>
      </c>
      <c r="L438" s="3">
        <f>IF(OR(TRIM(I438)="",TRIM(K438)=""),"",IFERROR((VALUE(LEFT(TRIM(I438),4))-VALUE(LEFT(TRIM(K438),4)))*12+VALUE(MID(TRIM(I438),6,2))-VALUE(MID(TRIM(K438),6,2)),""))</f>
        <v>24</v>
      </c>
      <c r="M438" s="2" t="str">
        <f>IF(TRIM(H438)="","",IFERROR(LOOKUP(2,1/(ISNUMBER(SEARCH('منطق دسته‌بندی'!$A$2:$A$187,H438))),'منطق دسته‌بندی'!$B$2:$B$187),"سایر (نیازمند بررسی دستی)"))</f>
        <v>خرابی - برد الکترونیک (تعویض)</v>
      </c>
      <c r="N438" s="2" t="s">
        <v>40</v>
      </c>
      <c r="O438" s="2" t="str" cm="1">
        <f t="array" ref="O438">IF(A438="","",IF(SUMPRODUCT(($B$2:$B$965=B438)*($C$2:$C$965=C438)*($D$2:$D$965=D438)*($E$2:$E$965=E438)*($F$2:$F$965=F438)*($G$2:$G$965=G438)*($H$2:$H$965=H438)*($I$2:$I$965=I438)*($J$2:$J$965=J438)*($K$2:$K$965=K438)*($N$2:$N$965=N438))=1,"خیر",IF(SUMPRODUCT(($B$2:B438=B438)*($C$2:C438=C438)*($D$2:D438=D438)*($E$2:E438=E438)*($F$2:F438=F438)*($G$2:G438=G438)*($H$2:H438=H438)*($I$2:I438=I438)*($J$2:J438=J438)*($K$2:K438=K438)*($N$2:N438=N438))=1,"بله-1","بله")))</f>
        <v>خیر</v>
      </c>
      <c r="P438" s="5" t="str" cm="1">
        <f t="array" ref="P438">IF(A438="","",IF(SUMPRODUCT(($F$2:$F$969=F438)*($I$2:$I$969=I438))=1,"خیر",IF(SUMPRODUCT(($F$2:F438=F438)*($I$2:I438=I438))=1,"بله-1","بله")))</f>
        <v>خیر</v>
      </c>
    </row>
    <row r="439" spans="1:16" ht="18.75" x14ac:dyDescent="0.25">
      <c r="A439" s="2" t="s">
        <v>573</v>
      </c>
      <c r="B439" s="2" t="s">
        <v>16</v>
      </c>
      <c r="C439" s="2" t="s">
        <v>17</v>
      </c>
      <c r="D439" s="2" t="s">
        <v>1356</v>
      </c>
      <c r="E439" s="2" t="s">
        <v>34</v>
      </c>
      <c r="F439" s="2" t="s">
        <v>574</v>
      </c>
      <c r="G439" s="2" t="s">
        <v>388</v>
      </c>
      <c r="H439" s="2" t="s">
        <v>139</v>
      </c>
      <c r="I439" s="2" t="s">
        <v>549</v>
      </c>
      <c r="J439" s="2" t="s">
        <v>575</v>
      </c>
      <c r="K439" s="2" t="s">
        <v>576</v>
      </c>
      <c r="L439" s="3">
        <f>IF(OR(TRIM(I439)="",TRIM(K439)=""),"",IFERROR((VALUE(LEFT(TRIM(I439),4))-VALUE(LEFT(TRIM(K439),4)))*12+VALUE(MID(TRIM(I439),6,2))-VALUE(MID(TRIM(K439),6,2)),""))</f>
        <v>23</v>
      </c>
      <c r="M439" s="2" t="str">
        <f>IF(TRIM(H439)="","",IFERROR(LOOKUP(2,1/(ISNUMBER(SEARCH('منطق دسته‌بندی'!$A$2:$A$187,H439))),'منطق دسته‌بندی'!$B$2:$B$187),"سایر (نیازمند بررسی دستی)"))</f>
        <v>تراز/لرزش - نصب (رگلاژ پایه)</v>
      </c>
      <c r="N439" s="2" t="s">
        <v>158</v>
      </c>
      <c r="O439" s="2" t="str" cm="1">
        <f t="array" ref="O439">IF(A439="","",IF(SUMPRODUCT(($B$2:$B$965=B439)*($C$2:$C$965=C439)*($D$2:$D$965=D439)*($E$2:$E$965=E439)*($F$2:$F$965=F439)*($G$2:$G$965=G439)*($H$2:$H$965=H439)*($I$2:$I$965=I439)*($J$2:$J$965=J439)*($K$2:$K$965=K439)*($N$2:$N$965=N439))=1,"خیر",IF(SUMPRODUCT(($B$2:B439=B439)*($C$2:C439=C439)*($D$2:D439=D439)*($E$2:E439=E439)*($F$2:F439=F439)*($G$2:G439=G439)*($H$2:H439=H439)*($I$2:I439=I439)*($J$2:J439=J439)*($K$2:K439=K439)*($N$2:N439=N439))=1,"بله-1","بله")))</f>
        <v>خیر</v>
      </c>
      <c r="P439" s="5" t="str" cm="1">
        <f t="array" ref="P439">IF(A439="","",IF(SUMPRODUCT(($F$2:$F$969=F439)*($I$2:$I$969=I439))=1,"خیر",IF(SUMPRODUCT(($F$2:F439=F439)*($I$2:I439=I439))=1,"بله-1","بله")))</f>
        <v>خیر</v>
      </c>
    </row>
    <row r="440" spans="1:16" ht="18.75" x14ac:dyDescent="0.25">
      <c r="A440" s="2" t="s">
        <v>1247</v>
      </c>
      <c r="B440" s="2" t="s">
        <v>1040</v>
      </c>
      <c r="C440" s="2" t="s">
        <v>1041</v>
      </c>
      <c r="D440" s="2" t="s">
        <v>1356</v>
      </c>
      <c r="E440" s="2" t="s">
        <v>1243</v>
      </c>
      <c r="F440" s="2" t="s">
        <v>1248</v>
      </c>
      <c r="G440" s="2" t="s">
        <v>1249</v>
      </c>
      <c r="H440" s="11" t="s">
        <v>162</v>
      </c>
      <c r="I440" s="2" t="s">
        <v>1240</v>
      </c>
      <c r="J440" s="2" t="s">
        <v>1250</v>
      </c>
      <c r="K440" s="2" t="s">
        <v>1251</v>
      </c>
      <c r="L440" s="3">
        <f>IF(OR(TRIM(I440)="",TRIM(K440)=""),"",IFERROR((VALUE(LEFT(TRIM(I440),4))-VALUE(LEFT(TRIM(K440),4)))*12+VALUE(MID(TRIM(I440),6,2))-VALUE(MID(TRIM(K440),6,2)),""))</f>
        <v>24</v>
      </c>
      <c r="M440" s="2" t="str">
        <f>IF(TRIM(H440)="","",IFERROR(LOOKUP(2,1/(ISNUMBER(SEARCH('منطق دسته‌بندی'!$A$2:$A$187,H440))),'منطق دسته‌بندی'!$B$2:$B$187),"سایر (نیازمند بررسی دستی)"))</f>
        <v>خرابی - پمپ تخلیه (تعویض)</v>
      </c>
      <c r="N440" s="2" t="s">
        <v>517</v>
      </c>
      <c r="O440" s="2" t="str" cm="1">
        <f t="array" ref="O440">IF(A440="","",IF(SUMPRODUCT(($B$2:$B$965=B440)*($C$2:$C$965=C440)*($D$2:$D$965=D440)*($E$2:$E$965=E440)*($F$2:$F$965=F440)*($G$2:$G$965=G440)*($H$2:$H$965=H440)*($I$2:$I$965=I440)*($J$2:$J$965=J440)*($K$2:$K$965=K440)*($N$2:$N$965=N440))=1,"خیر",IF(SUMPRODUCT(($B$2:B440=B440)*($C$2:C440=C440)*($D$2:D440=D440)*($E$2:E440=E440)*($F$2:F440=F440)*($G$2:G440=G440)*($H$2:H440=H440)*($I$2:I440=I440)*($J$2:J440=J440)*($K$2:K440=K440)*($N$2:N440=N440))=1,"بله-1","بله")))</f>
        <v>خیر</v>
      </c>
      <c r="P440" s="5" t="str" cm="1">
        <f t="array" ref="P440">IF(A440="","",IF(SUMPRODUCT(($F$2:$F$969=F440)*($I$2:$I$969=I440))=1,"خیر",IF(SUMPRODUCT(($F$2:F440=F440)*($I$2:I440=I440))=1,"بله-1","بله")))</f>
        <v>خیر</v>
      </c>
    </row>
  </sheetData>
  <conditionalFormatting sqref="F143:F145">
    <cfRule type="duplicateValues" dxfId="0" priority="1"/>
  </conditionalFormatting>
  <printOptions horizontalCentered="1"/>
  <pageMargins left="0.2" right="0.2" top="0.5" bottom="0" header="0.5" footer="0.5"/>
  <pageSetup paperSize="9" scale="1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187"/>
  <sheetViews>
    <sheetView workbookViewId="0">
      <pane ySplit="1" topLeftCell="A2" activePane="bottomLeft" state="frozen"/>
      <selection pane="bottomLeft" activeCell="A148" sqref="A148"/>
    </sheetView>
  </sheetViews>
  <sheetFormatPr defaultRowHeight="15" x14ac:dyDescent="0.25"/>
  <cols>
    <col min="1" max="1" width="35" customWidth="1"/>
    <col min="2" max="2" width="45" customWidth="1"/>
    <col min="3" max="3" width="10" customWidth="1"/>
  </cols>
  <sheetData>
    <row r="1" spans="1:3" x14ac:dyDescent="0.25">
      <c r="A1" t="s">
        <v>1728</v>
      </c>
      <c r="B1" t="s">
        <v>12</v>
      </c>
      <c r="C1" t="s">
        <v>1729</v>
      </c>
    </row>
    <row r="2" spans="1:3" hidden="1" x14ac:dyDescent="0.25">
      <c r="A2" t="s">
        <v>1730</v>
      </c>
      <c r="B2" t="s">
        <v>1731</v>
      </c>
      <c r="C2">
        <v>1</v>
      </c>
    </row>
    <row r="3" spans="1:3" hidden="1" x14ac:dyDescent="0.25">
      <c r="A3" t="s">
        <v>1732</v>
      </c>
      <c r="B3" t="s">
        <v>1731</v>
      </c>
      <c r="C3">
        <v>1</v>
      </c>
    </row>
    <row r="4" spans="1:3" hidden="1" x14ac:dyDescent="0.25">
      <c r="A4" t="s">
        <v>1733</v>
      </c>
      <c r="B4" t="s">
        <v>1731</v>
      </c>
      <c r="C4">
        <v>1</v>
      </c>
    </row>
    <row r="5" spans="1:3" hidden="1" x14ac:dyDescent="0.25">
      <c r="A5" t="s">
        <v>1734</v>
      </c>
      <c r="B5" t="s">
        <v>1735</v>
      </c>
      <c r="C5">
        <v>1</v>
      </c>
    </row>
    <row r="6" spans="1:3" hidden="1" x14ac:dyDescent="0.25">
      <c r="A6" t="s">
        <v>1736</v>
      </c>
      <c r="B6" t="s">
        <v>1735</v>
      </c>
      <c r="C6">
        <v>1</v>
      </c>
    </row>
    <row r="7" spans="1:3" hidden="1" x14ac:dyDescent="0.25">
      <c r="A7" t="s">
        <v>1737</v>
      </c>
      <c r="B7" t="s">
        <v>1735</v>
      </c>
      <c r="C7">
        <v>1</v>
      </c>
    </row>
    <row r="8" spans="1:3" hidden="1" x14ac:dyDescent="0.25">
      <c r="A8" t="s">
        <v>1738</v>
      </c>
      <c r="B8" t="s">
        <v>1739</v>
      </c>
      <c r="C8">
        <v>1</v>
      </c>
    </row>
    <row r="9" spans="1:3" hidden="1" x14ac:dyDescent="0.25">
      <c r="A9" t="s">
        <v>1740</v>
      </c>
      <c r="B9" t="s">
        <v>1739</v>
      </c>
      <c r="C9">
        <v>1</v>
      </c>
    </row>
    <row r="10" spans="1:3" hidden="1" x14ac:dyDescent="0.25">
      <c r="A10" t="s">
        <v>1741</v>
      </c>
      <c r="B10" t="s">
        <v>1742</v>
      </c>
      <c r="C10">
        <v>1</v>
      </c>
    </row>
    <row r="11" spans="1:3" hidden="1" x14ac:dyDescent="0.25">
      <c r="A11" t="s">
        <v>1743</v>
      </c>
      <c r="B11" t="s">
        <v>1742</v>
      </c>
      <c r="C11">
        <v>1</v>
      </c>
    </row>
    <row r="12" spans="1:3" hidden="1" x14ac:dyDescent="0.25">
      <c r="A12" t="s">
        <v>1744</v>
      </c>
      <c r="B12" t="s">
        <v>1742</v>
      </c>
      <c r="C12">
        <v>1</v>
      </c>
    </row>
    <row r="13" spans="1:3" hidden="1" x14ac:dyDescent="0.25">
      <c r="A13" t="s">
        <v>1745</v>
      </c>
      <c r="B13" t="s">
        <v>1746</v>
      </c>
      <c r="C13">
        <v>1</v>
      </c>
    </row>
    <row r="14" spans="1:3" hidden="1" x14ac:dyDescent="0.25">
      <c r="A14" t="s">
        <v>1747</v>
      </c>
      <c r="B14" t="s">
        <v>1746</v>
      </c>
      <c r="C14">
        <v>1</v>
      </c>
    </row>
    <row r="15" spans="1:3" hidden="1" x14ac:dyDescent="0.25">
      <c r="A15" t="s">
        <v>1748</v>
      </c>
      <c r="B15" t="s">
        <v>1746</v>
      </c>
      <c r="C15">
        <v>1</v>
      </c>
    </row>
    <row r="16" spans="1:3" hidden="1" x14ac:dyDescent="0.25">
      <c r="A16" t="s">
        <v>1749</v>
      </c>
      <c r="B16" t="s">
        <v>1750</v>
      </c>
      <c r="C16">
        <v>1</v>
      </c>
    </row>
    <row r="17" spans="1:3" hidden="1" x14ac:dyDescent="0.25">
      <c r="A17" t="s">
        <v>389</v>
      </c>
      <c r="B17" t="s">
        <v>1751</v>
      </c>
      <c r="C17">
        <v>1</v>
      </c>
    </row>
    <row r="18" spans="1:3" hidden="1" x14ac:dyDescent="0.25">
      <c r="A18" t="s">
        <v>1752</v>
      </c>
      <c r="B18" t="s">
        <v>1753</v>
      </c>
      <c r="C18">
        <v>1</v>
      </c>
    </row>
    <row r="19" spans="1:3" hidden="1" x14ac:dyDescent="0.25">
      <c r="A19" t="s">
        <v>1754</v>
      </c>
      <c r="B19" t="s">
        <v>1755</v>
      </c>
      <c r="C19">
        <v>1</v>
      </c>
    </row>
    <row r="20" spans="1:3" hidden="1" x14ac:dyDescent="0.25">
      <c r="A20" t="s">
        <v>1756</v>
      </c>
      <c r="B20" t="s">
        <v>1755</v>
      </c>
      <c r="C20">
        <v>1</v>
      </c>
    </row>
    <row r="21" spans="1:3" hidden="1" x14ac:dyDescent="0.25">
      <c r="A21" t="s">
        <v>1757</v>
      </c>
      <c r="B21" t="s">
        <v>1758</v>
      </c>
      <c r="C21">
        <v>1</v>
      </c>
    </row>
    <row r="22" spans="1:3" hidden="1" x14ac:dyDescent="0.25">
      <c r="A22" t="s">
        <v>1759</v>
      </c>
      <c r="B22" t="s">
        <v>1760</v>
      </c>
      <c r="C22">
        <v>1</v>
      </c>
    </row>
    <row r="23" spans="1:3" hidden="1" x14ac:dyDescent="0.25">
      <c r="A23" t="s">
        <v>1761</v>
      </c>
      <c r="B23" t="s">
        <v>1762</v>
      </c>
      <c r="C23">
        <v>1</v>
      </c>
    </row>
    <row r="24" spans="1:3" hidden="1" x14ac:dyDescent="0.25">
      <c r="A24" t="s">
        <v>1763</v>
      </c>
      <c r="B24" t="s">
        <v>1762</v>
      </c>
      <c r="C24">
        <v>1</v>
      </c>
    </row>
    <row r="25" spans="1:3" hidden="1" x14ac:dyDescent="0.25">
      <c r="A25" t="s">
        <v>1764</v>
      </c>
      <c r="B25" t="s">
        <v>1765</v>
      </c>
      <c r="C25">
        <v>1</v>
      </c>
    </row>
    <row r="26" spans="1:3" hidden="1" x14ac:dyDescent="0.25">
      <c r="A26" t="s">
        <v>1766</v>
      </c>
      <c r="B26" t="s">
        <v>1765</v>
      </c>
      <c r="C26">
        <v>1</v>
      </c>
    </row>
    <row r="27" spans="1:3" hidden="1" x14ac:dyDescent="0.25">
      <c r="A27" t="s">
        <v>1767</v>
      </c>
      <c r="B27" t="s">
        <v>1768</v>
      </c>
      <c r="C27">
        <v>1</v>
      </c>
    </row>
    <row r="28" spans="1:3" hidden="1" x14ac:dyDescent="0.25">
      <c r="A28" t="s">
        <v>1769</v>
      </c>
      <c r="B28" t="s">
        <v>1768</v>
      </c>
      <c r="C28">
        <v>1</v>
      </c>
    </row>
    <row r="29" spans="1:3" hidden="1" x14ac:dyDescent="0.25">
      <c r="A29" t="s">
        <v>1770</v>
      </c>
      <c r="B29" t="s">
        <v>1771</v>
      </c>
      <c r="C29">
        <v>1</v>
      </c>
    </row>
    <row r="30" spans="1:3" hidden="1" x14ac:dyDescent="0.25">
      <c r="A30" t="s">
        <v>1772</v>
      </c>
      <c r="B30" t="s">
        <v>1771</v>
      </c>
      <c r="C30">
        <v>1</v>
      </c>
    </row>
    <row r="31" spans="1:3" hidden="1" x14ac:dyDescent="0.25">
      <c r="A31" t="s">
        <v>1773</v>
      </c>
      <c r="B31" t="s">
        <v>1774</v>
      </c>
      <c r="C31">
        <v>1</v>
      </c>
    </row>
    <row r="32" spans="1:3" hidden="1" x14ac:dyDescent="0.25">
      <c r="A32" t="s">
        <v>1775</v>
      </c>
      <c r="B32" t="s">
        <v>1774</v>
      </c>
      <c r="C32">
        <v>1</v>
      </c>
    </row>
    <row r="33" spans="1:3" hidden="1" x14ac:dyDescent="0.25">
      <c r="A33" t="s">
        <v>1776</v>
      </c>
      <c r="B33" t="s">
        <v>1774</v>
      </c>
      <c r="C33">
        <v>1</v>
      </c>
    </row>
    <row r="34" spans="1:3" hidden="1" x14ac:dyDescent="0.25">
      <c r="A34" t="s">
        <v>1777</v>
      </c>
      <c r="B34" t="s">
        <v>1778</v>
      </c>
      <c r="C34">
        <v>1</v>
      </c>
    </row>
    <row r="35" spans="1:3" hidden="1" x14ac:dyDescent="0.25">
      <c r="A35" t="s">
        <v>1779</v>
      </c>
      <c r="B35" t="s">
        <v>1780</v>
      </c>
      <c r="C35">
        <v>1</v>
      </c>
    </row>
    <row r="36" spans="1:3" hidden="1" x14ac:dyDescent="0.25">
      <c r="A36" t="s">
        <v>1781</v>
      </c>
      <c r="B36" t="s">
        <v>1782</v>
      </c>
      <c r="C36">
        <v>1</v>
      </c>
    </row>
    <row r="37" spans="1:3" hidden="1" x14ac:dyDescent="0.25">
      <c r="A37" t="s">
        <v>1783</v>
      </c>
      <c r="B37" t="s">
        <v>1782</v>
      </c>
      <c r="C37">
        <v>1</v>
      </c>
    </row>
    <row r="38" spans="1:3" hidden="1" x14ac:dyDescent="0.25">
      <c r="A38" t="s">
        <v>1784</v>
      </c>
      <c r="B38" t="s">
        <v>1785</v>
      </c>
      <c r="C38">
        <v>1</v>
      </c>
    </row>
    <row r="39" spans="1:3" hidden="1" x14ac:dyDescent="0.25">
      <c r="A39" t="s">
        <v>1786</v>
      </c>
      <c r="B39" t="s">
        <v>1785</v>
      </c>
      <c r="C39">
        <v>1</v>
      </c>
    </row>
    <row r="40" spans="1:3" hidden="1" x14ac:dyDescent="0.25">
      <c r="A40" t="s">
        <v>1787</v>
      </c>
      <c r="B40" t="s">
        <v>1788</v>
      </c>
      <c r="C40">
        <v>1</v>
      </c>
    </row>
    <row r="41" spans="1:3" hidden="1" x14ac:dyDescent="0.25">
      <c r="A41" t="s">
        <v>1789</v>
      </c>
      <c r="B41" t="s">
        <v>1788</v>
      </c>
      <c r="C41">
        <v>1</v>
      </c>
    </row>
    <row r="42" spans="1:3" hidden="1" x14ac:dyDescent="0.25">
      <c r="A42" t="s">
        <v>1790</v>
      </c>
      <c r="B42" t="s">
        <v>1791</v>
      </c>
      <c r="C42">
        <v>1</v>
      </c>
    </row>
    <row r="43" spans="1:3" hidden="1" x14ac:dyDescent="0.25">
      <c r="A43" t="s">
        <v>1792</v>
      </c>
      <c r="B43" t="s">
        <v>1791</v>
      </c>
      <c r="C43">
        <v>1</v>
      </c>
    </row>
    <row r="44" spans="1:3" hidden="1" x14ac:dyDescent="0.25">
      <c r="A44" t="s">
        <v>254</v>
      </c>
      <c r="B44" t="s">
        <v>1793</v>
      </c>
      <c r="C44">
        <v>1</v>
      </c>
    </row>
    <row r="45" spans="1:3" hidden="1" x14ac:dyDescent="0.25">
      <c r="A45" t="s">
        <v>1794</v>
      </c>
      <c r="B45" t="s">
        <v>1793</v>
      </c>
      <c r="C45">
        <v>1</v>
      </c>
    </row>
    <row r="46" spans="1:3" hidden="1" x14ac:dyDescent="0.25">
      <c r="A46" t="s">
        <v>1795</v>
      </c>
      <c r="B46" t="s">
        <v>1796</v>
      </c>
      <c r="C46">
        <v>1</v>
      </c>
    </row>
    <row r="47" spans="1:3" hidden="1" x14ac:dyDescent="0.25">
      <c r="A47" t="s">
        <v>1797</v>
      </c>
      <c r="B47" t="s">
        <v>1796</v>
      </c>
      <c r="C47">
        <v>1</v>
      </c>
    </row>
    <row r="48" spans="1:3" hidden="1" x14ac:dyDescent="0.25">
      <c r="A48" t="s">
        <v>1798</v>
      </c>
      <c r="B48" t="s">
        <v>1796</v>
      </c>
      <c r="C48">
        <v>1</v>
      </c>
    </row>
    <row r="49" spans="1:3" hidden="1" x14ac:dyDescent="0.25">
      <c r="A49" t="s">
        <v>1799</v>
      </c>
      <c r="B49" t="s">
        <v>1796</v>
      </c>
      <c r="C49">
        <v>1</v>
      </c>
    </row>
    <row r="50" spans="1:3" hidden="1" x14ac:dyDescent="0.25">
      <c r="A50" t="s">
        <v>1800</v>
      </c>
      <c r="B50" t="s">
        <v>1801</v>
      </c>
      <c r="C50">
        <v>1</v>
      </c>
    </row>
    <row r="51" spans="1:3" hidden="1" x14ac:dyDescent="0.25">
      <c r="A51" t="s">
        <v>1802</v>
      </c>
      <c r="B51" t="s">
        <v>1803</v>
      </c>
      <c r="C51">
        <v>1</v>
      </c>
    </row>
    <row r="52" spans="1:3" hidden="1" x14ac:dyDescent="0.25">
      <c r="A52" t="s">
        <v>175</v>
      </c>
      <c r="B52" t="s">
        <v>1804</v>
      </c>
      <c r="C52">
        <v>1</v>
      </c>
    </row>
    <row r="53" spans="1:3" hidden="1" x14ac:dyDescent="0.25">
      <c r="A53" t="s">
        <v>1805</v>
      </c>
      <c r="B53" t="s">
        <v>1806</v>
      </c>
      <c r="C53">
        <v>1</v>
      </c>
    </row>
    <row r="54" spans="1:3" hidden="1" x14ac:dyDescent="0.25">
      <c r="A54" t="s">
        <v>1807</v>
      </c>
      <c r="B54" t="s">
        <v>1806</v>
      </c>
      <c r="C54">
        <v>1</v>
      </c>
    </row>
    <row r="55" spans="1:3" hidden="1" x14ac:dyDescent="0.25">
      <c r="A55" t="s">
        <v>1808</v>
      </c>
      <c r="B55" t="s">
        <v>1806</v>
      </c>
      <c r="C55">
        <v>1</v>
      </c>
    </row>
    <row r="56" spans="1:3" hidden="1" x14ac:dyDescent="0.25">
      <c r="A56" t="s">
        <v>1809</v>
      </c>
      <c r="B56" t="s">
        <v>1806</v>
      </c>
      <c r="C56">
        <v>1</v>
      </c>
    </row>
    <row r="57" spans="1:3" hidden="1" x14ac:dyDescent="0.25">
      <c r="A57" t="s">
        <v>1810</v>
      </c>
      <c r="B57" t="s">
        <v>1811</v>
      </c>
      <c r="C57">
        <v>1</v>
      </c>
    </row>
    <row r="58" spans="1:3" hidden="1" x14ac:dyDescent="0.25">
      <c r="A58" t="s">
        <v>1812</v>
      </c>
      <c r="B58" t="s">
        <v>1811</v>
      </c>
      <c r="C58">
        <v>1</v>
      </c>
    </row>
    <row r="59" spans="1:3" hidden="1" x14ac:dyDescent="0.25">
      <c r="A59" t="s">
        <v>1279</v>
      </c>
      <c r="B59" t="s">
        <v>1813</v>
      </c>
      <c r="C59">
        <v>1</v>
      </c>
    </row>
    <row r="60" spans="1:3" hidden="1" x14ac:dyDescent="0.25">
      <c r="A60" t="s">
        <v>1814</v>
      </c>
      <c r="B60" t="s">
        <v>1813</v>
      </c>
      <c r="C60">
        <v>1</v>
      </c>
    </row>
    <row r="61" spans="1:3" hidden="1" x14ac:dyDescent="0.25">
      <c r="A61" t="s">
        <v>1069</v>
      </c>
      <c r="B61" t="s">
        <v>1815</v>
      </c>
      <c r="C61">
        <v>1</v>
      </c>
    </row>
    <row r="62" spans="1:3" hidden="1" x14ac:dyDescent="0.25">
      <c r="A62" t="s">
        <v>1816</v>
      </c>
      <c r="B62" t="s">
        <v>1815</v>
      </c>
      <c r="C62">
        <v>1</v>
      </c>
    </row>
    <row r="63" spans="1:3" hidden="1" x14ac:dyDescent="0.25">
      <c r="A63" t="s">
        <v>1817</v>
      </c>
      <c r="B63" t="s">
        <v>1818</v>
      </c>
      <c r="C63">
        <v>1</v>
      </c>
    </row>
    <row r="64" spans="1:3" hidden="1" x14ac:dyDescent="0.25">
      <c r="A64" t="s">
        <v>1819</v>
      </c>
      <c r="B64" t="s">
        <v>1818</v>
      </c>
      <c r="C64">
        <v>1</v>
      </c>
    </row>
    <row r="65" spans="1:3" hidden="1" x14ac:dyDescent="0.25">
      <c r="A65" t="s">
        <v>1820</v>
      </c>
      <c r="B65" t="s">
        <v>1821</v>
      </c>
      <c r="C65">
        <v>1</v>
      </c>
    </row>
    <row r="66" spans="1:3" hidden="1" x14ac:dyDescent="0.25">
      <c r="A66" t="s">
        <v>1822</v>
      </c>
      <c r="B66" t="s">
        <v>1823</v>
      </c>
      <c r="C66">
        <v>1</v>
      </c>
    </row>
    <row r="67" spans="1:3" hidden="1" x14ac:dyDescent="0.25">
      <c r="A67" t="s">
        <v>1824</v>
      </c>
      <c r="B67" t="s">
        <v>1825</v>
      </c>
      <c r="C67">
        <v>1</v>
      </c>
    </row>
    <row r="68" spans="1:3" hidden="1" x14ac:dyDescent="0.25">
      <c r="A68" t="s">
        <v>1826</v>
      </c>
      <c r="B68" t="s">
        <v>1825</v>
      </c>
      <c r="C68">
        <v>1</v>
      </c>
    </row>
    <row r="69" spans="1:3" hidden="1" x14ac:dyDescent="0.25">
      <c r="A69" t="s">
        <v>1827</v>
      </c>
      <c r="B69" t="s">
        <v>1828</v>
      </c>
      <c r="C69">
        <v>1</v>
      </c>
    </row>
    <row r="70" spans="1:3" hidden="1" x14ac:dyDescent="0.25">
      <c r="A70" t="s">
        <v>1829</v>
      </c>
      <c r="B70" t="s">
        <v>1830</v>
      </c>
      <c r="C70">
        <v>1</v>
      </c>
    </row>
    <row r="71" spans="1:3" hidden="1" x14ac:dyDescent="0.25">
      <c r="A71" t="s">
        <v>1831</v>
      </c>
      <c r="B71" t="s">
        <v>1830</v>
      </c>
      <c r="C71">
        <v>1</v>
      </c>
    </row>
    <row r="72" spans="1:3" hidden="1" x14ac:dyDescent="0.25">
      <c r="A72" t="s">
        <v>1832</v>
      </c>
      <c r="B72" t="s">
        <v>1833</v>
      </c>
      <c r="C72">
        <v>1</v>
      </c>
    </row>
    <row r="73" spans="1:3" hidden="1" x14ac:dyDescent="0.25">
      <c r="A73" t="s">
        <v>1834</v>
      </c>
      <c r="B73" t="s">
        <v>1833</v>
      </c>
      <c r="C73">
        <v>1</v>
      </c>
    </row>
    <row r="74" spans="1:3" hidden="1" x14ac:dyDescent="0.25">
      <c r="A74" t="s">
        <v>1835</v>
      </c>
      <c r="B74" t="s">
        <v>1836</v>
      </c>
      <c r="C74">
        <v>1</v>
      </c>
    </row>
    <row r="75" spans="1:3" hidden="1" x14ac:dyDescent="0.25">
      <c r="A75" t="s">
        <v>1837</v>
      </c>
      <c r="B75" t="s">
        <v>1836</v>
      </c>
      <c r="C75">
        <v>1</v>
      </c>
    </row>
    <row r="76" spans="1:3" hidden="1" x14ac:dyDescent="0.25">
      <c r="A76" t="s">
        <v>1838</v>
      </c>
      <c r="B76" t="s">
        <v>1839</v>
      </c>
      <c r="C76">
        <v>1</v>
      </c>
    </row>
    <row r="77" spans="1:3" hidden="1" x14ac:dyDescent="0.25">
      <c r="A77" t="s">
        <v>1840</v>
      </c>
      <c r="B77" t="s">
        <v>1841</v>
      </c>
      <c r="C77">
        <v>1</v>
      </c>
    </row>
    <row r="78" spans="1:3" hidden="1" x14ac:dyDescent="0.25">
      <c r="A78" t="s">
        <v>1842</v>
      </c>
      <c r="B78" t="s">
        <v>1843</v>
      </c>
      <c r="C78">
        <v>1</v>
      </c>
    </row>
    <row r="79" spans="1:3" hidden="1" x14ac:dyDescent="0.25">
      <c r="A79" t="s">
        <v>1844</v>
      </c>
      <c r="B79" t="s">
        <v>1843</v>
      </c>
      <c r="C79">
        <v>1</v>
      </c>
    </row>
    <row r="80" spans="1:3" hidden="1" x14ac:dyDescent="0.25">
      <c r="A80" t="s">
        <v>1845</v>
      </c>
      <c r="B80" t="s">
        <v>1846</v>
      </c>
      <c r="C80">
        <v>1</v>
      </c>
    </row>
    <row r="81" spans="1:3" hidden="1" x14ac:dyDescent="0.25">
      <c r="A81" t="s">
        <v>1847</v>
      </c>
      <c r="B81" t="s">
        <v>1846</v>
      </c>
      <c r="C81">
        <v>1</v>
      </c>
    </row>
    <row r="82" spans="1:3" hidden="1" x14ac:dyDescent="0.25">
      <c r="A82" t="s">
        <v>1848</v>
      </c>
      <c r="B82" t="s">
        <v>1846</v>
      </c>
      <c r="C82">
        <v>1</v>
      </c>
    </row>
    <row r="83" spans="1:3" hidden="1" x14ac:dyDescent="0.25">
      <c r="A83" t="s">
        <v>1849</v>
      </c>
      <c r="B83" t="s">
        <v>1850</v>
      </c>
      <c r="C83">
        <v>1</v>
      </c>
    </row>
    <row r="84" spans="1:3" hidden="1" x14ac:dyDescent="0.25">
      <c r="A84" t="s">
        <v>1851</v>
      </c>
      <c r="B84" t="s">
        <v>1852</v>
      </c>
      <c r="C84">
        <v>1</v>
      </c>
    </row>
    <row r="85" spans="1:3" hidden="1" x14ac:dyDescent="0.25">
      <c r="A85" t="s">
        <v>1853</v>
      </c>
      <c r="B85" t="s">
        <v>1852</v>
      </c>
      <c r="C85">
        <v>1</v>
      </c>
    </row>
    <row r="86" spans="1:3" hidden="1" x14ac:dyDescent="0.25">
      <c r="A86" t="s">
        <v>1854</v>
      </c>
      <c r="B86" t="s">
        <v>1852</v>
      </c>
      <c r="C86">
        <v>1</v>
      </c>
    </row>
    <row r="87" spans="1:3" hidden="1" x14ac:dyDescent="0.25">
      <c r="A87" t="s">
        <v>1759</v>
      </c>
      <c r="B87" t="s">
        <v>1760</v>
      </c>
      <c r="C87">
        <v>1</v>
      </c>
    </row>
    <row r="88" spans="1:3" hidden="1" x14ac:dyDescent="0.25">
      <c r="A88" t="s">
        <v>681</v>
      </c>
      <c r="B88" t="s">
        <v>1855</v>
      </c>
      <c r="C88">
        <v>1</v>
      </c>
    </row>
    <row r="89" spans="1:3" hidden="1" x14ac:dyDescent="0.25">
      <c r="A89" t="s">
        <v>1856</v>
      </c>
      <c r="B89" t="s">
        <v>1855</v>
      </c>
      <c r="C89">
        <v>1</v>
      </c>
    </row>
    <row r="90" spans="1:3" hidden="1" x14ac:dyDescent="0.25">
      <c r="A90" t="s">
        <v>1857</v>
      </c>
      <c r="B90" t="s">
        <v>1858</v>
      </c>
      <c r="C90">
        <v>1</v>
      </c>
    </row>
    <row r="91" spans="1:3" hidden="1" x14ac:dyDescent="0.25">
      <c r="A91" t="s">
        <v>1859</v>
      </c>
      <c r="B91" t="s">
        <v>1858</v>
      </c>
      <c r="C91">
        <v>1</v>
      </c>
    </row>
    <row r="92" spans="1:3" hidden="1" x14ac:dyDescent="0.25">
      <c r="A92" t="s">
        <v>1860</v>
      </c>
      <c r="B92" t="s">
        <v>1858</v>
      </c>
      <c r="C92">
        <v>1</v>
      </c>
    </row>
    <row r="93" spans="1:3" hidden="1" x14ac:dyDescent="0.25">
      <c r="A93" t="s">
        <v>1861</v>
      </c>
      <c r="B93" t="s">
        <v>1858</v>
      </c>
      <c r="C93">
        <v>1</v>
      </c>
    </row>
    <row r="94" spans="1:3" hidden="1" x14ac:dyDescent="0.25">
      <c r="A94" t="s">
        <v>1862</v>
      </c>
      <c r="B94" t="s">
        <v>1863</v>
      </c>
      <c r="C94">
        <v>1</v>
      </c>
    </row>
    <row r="95" spans="1:3" hidden="1" x14ac:dyDescent="0.25">
      <c r="A95" t="s">
        <v>1647</v>
      </c>
      <c r="B95" t="s">
        <v>1863</v>
      </c>
      <c r="C95">
        <v>1</v>
      </c>
    </row>
    <row r="96" spans="1:3" hidden="1" x14ac:dyDescent="0.25">
      <c r="A96" t="s">
        <v>1864</v>
      </c>
      <c r="B96" t="s">
        <v>1863</v>
      </c>
      <c r="C96">
        <v>1</v>
      </c>
    </row>
    <row r="97" spans="1:3" hidden="1" x14ac:dyDescent="0.25">
      <c r="A97" t="s">
        <v>1678</v>
      </c>
      <c r="B97" t="s">
        <v>1863</v>
      </c>
      <c r="C97">
        <v>1</v>
      </c>
    </row>
    <row r="98" spans="1:3" hidden="1" x14ac:dyDescent="0.25">
      <c r="A98" t="s">
        <v>1114</v>
      </c>
      <c r="B98" t="s">
        <v>1865</v>
      </c>
      <c r="C98">
        <v>1</v>
      </c>
    </row>
    <row r="99" spans="1:3" hidden="1" x14ac:dyDescent="0.25">
      <c r="A99" t="s">
        <v>1667</v>
      </c>
      <c r="B99" t="s">
        <v>1865</v>
      </c>
      <c r="C99">
        <v>1</v>
      </c>
    </row>
    <row r="100" spans="1:3" hidden="1" x14ac:dyDescent="0.25">
      <c r="A100" t="s">
        <v>1866</v>
      </c>
      <c r="B100" t="s">
        <v>1865</v>
      </c>
      <c r="C100">
        <v>1</v>
      </c>
    </row>
    <row r="101" spans="1:3" hidden="1" x14ac:dyDescent="0.25">
      <c r="A101" t="s">
        <v>1867</v>
      </c>
      <c r="B101" t="s">
        <v>1865</v>
      </c>
      <c r="C101">
        <v>1</v>
      </c>
    </row>
    <row r="102" spans="1:3" hidden="1" x14ac:dyDescent="0.25">
      <c r="A102" t="s">
        <v>1868</v>
      </c>
      <c r="B102" t="s">
        <v>1869</v>
      </c>
      <c r="C102">
        <v>1</v>
      </c>
    </row>
    <row r="103" spans="1:3" hidden="1" x14ac:dyDescent="0.25">
      <c r="A103" t="s">
        <v>1870</v>
      </c>
      <c r="B103" t="s">
        <v>1871</v>
      </c>
      <c r="C103">
        <v>1</v>
      </c>
    </row>
    <row r="104" spans="1:3" hidden="1" x14ac:dyDescent="0.25">
      <c r="A104" t="s">
        <v>1872</v>
      </c>
      <c r="B104" t="s">
        <v>1871</v>
      </c>
      <c r="C104">
        <v>1</v>
      </c>
    </row>
    <row r="105" spans="1:3" hidden="1" x14ac:dyDescent="0.25">
      <c r="A105" t="s">
        <v>1873</v>
      </c>
      <c r="B105" t="s">
        <v>1874</v>
      </c>
      <c r="C105">
        <v>2</v>
      </c>
    </row>
    <row r="106" spans="1:3" hidden="1" x14ac:dyDescent="0.25">
      <c r="A106" t="s">
        <v>1875</v>
      </c>
      <c r="B106" t="s">
        <v>1874</v>
      </c>
      <c r="C106">
        <v>2</v>
      </c>
    </row>
    <row r="107" spans="1:3" hidden="1" x14ac:dyDescent="0.25">
      <c r="A107" t="s">
        <v>1876</v>
      </c>
      <c r="B107" t="s">
        <v>1874</v>
      </c>
      <c r="C107">
        <v>2</v>
      </c>
    </row>
    <row r="108" spans="1:3" hidden="1" x14ac:dyDescent="0.25">
      <c r="A108" t="s">
        <v>1877</v>
      </c>
      <c r="B108" t="s">
        <v>1874</v>
      </c>
      <c r="C108">
        <v>2</v>
      </c>
    </row>
    <row r="109" spans="1:3" hidden="1" x14ac:dyDescent="0.25">
      <c r="A109" t="s">
        <v>1878</v>
      </c>
      <c r="B109" t="s">
        <v>1874</v>
      </c>
      <c r="C109">
        <v>2</v>
      </c>
    </row>
    <row r="110" spans="1:3" hidden="1" x14ac:dyDescent="0.25">
      <c r="A110" t="s">
        <v>1096</v>
      </c>
      <c r="B110" t="s">
        <v>1874</v>
      </c>
      <c r="C110">
        <v>2</v>
      </c>
    </row>
    <row r="111" spans="1:3" hidden="1" x14ac:dyDescent="0.25">
      <c r="A111" t="s">
        <v>1879</v>
      </c>
      <c r="B111" t="s">
        <v>1874</v>
      </c>
      <c r="C111">
        <v>2</v>
      </c>
    </row>
    <row r="112" spans="1:3" hidden="1" x14ac:dyDescent="0.25">
      <c r="A112" t="s">
        <v>1880</v>
      </c>
      <c r="B112" t="s">
        <v>1874</v>
      </c>
      <c r="C112">
        <v>2</v>
      </c>
    </row>
    <row r="113" spans="1:3" hidden="1" x14ac:dyDescent="0.25">
      <c r="A113" t="s">
        <v>1881</v>
      </c>
      <c r="B113" t="s">
        <v>1882</v>
      </c>
      <c r="C113">
        <v>2</v>
      </c>
    </row>
    <row r="114" spans="1:3" hidden="1" x14ac:dyDescent="0.25">
      <c r="A114" t="s">
        <v>1883</v>
      </c>
      <c r="B114" t="s">
        <v>1882</v>
      </c>
      <c r="C114">
        <v>2</v>
      </c>
    </row>
    <row r="115" spans="1:3" hidden="1" x14ac:dyDescent="0.25">
      <c r="A115" t="s">
        <v>1884</v>
      </c>
      <c r="B115" t="s">
        <v>1885</v>
      </c>
      <c r="C115">
        <v>2</v>
      </c>
    </row>
    <row r="116" spans="1:3" hidden="1" x14ac:dyDescent="0.25">
      <c r="A116" t="s">
        <v>1886</v>
      </c>
      <c r="B116" t="s">
        <v>1885</v>
      </c>
      <c r="C116">
        <v>2</v>
      </c>
    </row>
    <row r="117" spans="1:3" hidden="1" x14ac:dyDescent="0.25">
      <c r="A117" t="s">
        <v>1887</v>
      </c>
      <c r="B117" t="s">
        <v>1885</v>
      </c>
      <c r="C117">
        <v>2</v>
      </c>
    </row>
    <row r="118" spans="1:3" hidden="1" x14ac:dyDescent="0.25">
      <c r="A118" t="s">
        <v>1888</v>
      </c>
      <c r="B118" t="s">
        <v>1885</v>
      </c>
      <c r="C118">
        <v>2</v>
      </c>
    </row>
    <row r="119" spans="1:3" hidden="1" x14ac:dyDescent="0.25">
      <c r="A119" t="s">
        <v>1889</v>
      </c>
      <c r="B119" t="s">
        <v>1890</v>
      </c>
      <c r="C119">
        <v>3</v>
      </c>
    </row>
    <row r="120" spans="1:3" hidden="1" x14ac:dyDescent="0.25">
      <c r="A120" t="s">
        <v>1891</v>
      </c>
      <c r="B120" t="s">
        <v>1890</v>
      </c>
      <c r="C120">
        <v>3</v>
      </c>
    </row>
    <row r="121" spans="1:3" hidden="1" x14ac:dyDescent="0.25">
      <c r="A121" t="s">
        <v>1892</v>
      </c>
      <c r="B121" t="s">
        <v>1890</v>
      </c>
      <c r="C121">
        <v>3</v>
      </c>
    </row>
    <row r="122" spans="1:3" hidden="1" x14ac:dyDescent="0.25">
      <c r="A122" t="s">
        <v>1893</v>
      </c>
      <c r="B122" t="s">
        <v>1890</v>
      </c>
      <c r="C122">
        <v>3</v>
      </c>
    </row>
    <row r="123" spans="1:3" hidden="1" x14ac:dyDescent="0.25">
      <c r="A123" t="s">
        <v>1894</v>
      </c>
      <c r="B123" t="s">
        <v>1895</v>
      </c>
      <c r="C123">
        <v>3</v>
      </c>
    </row>
    <row r="124" spans="1:3" hidden="1" x14ac:dyDescent="0.25">
      <c r="A124" t="s">
        <v>1896</v>
      </c>
      <c r="B124" t="s">
        <v>1895</v>
      </c>
      <c r="C124">
        <v>3</v>
      </c>
    </row>
    <row r="125" spans="1:3" hidden="1" x14ac:dyDescent="0.25">
      <c r="A125" t="s">
        <v>1897</v>
      </c>
      <c r="B125" t="s">
        <v>1895</v>
      </c>
      <c r="C125">
        <v>3</v>
      </c>
    </row>
    <row r="126" spans="1:3" hidden="1" x14ac:dyDescent="0.25">
      <c r="A126" t="s">
        <v>1898</v>
      </c>
      <c r="B126" t="s">
        <v>1895</v>
      </c>
      <c r="C126">
        <v>3</v>
      </c>
    </row>
    <row r="127" spans="1:3" hidden="1" x14ac:dyDescent="0.25">
      <c r="A127" t="s">
        <v>205</v>
      </c>
      <c r="B127" t="s">
        <v>1895</v>
      </c>
      <c r="C127">
        <v>3</v>
      </c>
    </row>
    <row r="128" spans="1:3" hidden="1" x14ac:dyDescent="0.25">
      <c r="A128" t="s">
        <v>1899</v>
      </c>
      <c r="B128" t="s">
        <v>1900</v>
      </c>
      <c r="C128">
        <v>3</v>
      </c>
    </row>
    <row r="129" spans="1:3" hidden="1" x14ac:dyDescent="0.25">
      <c r="A129" t="s">
        <v>139</v>
      </c>
      <c r="B129" t="s">
        <v>1901</v>
      </c>
      <c r="C129">
        <v>3</v>
      </c>
    </row>
    <row r="130" spans="1:3" hidden="1" x14ac:dyDescent="0.25">
      <c r="A130" t="s">
        <v>1526</v>
      </c>
      <c r="B130" t="s">
        <v>1901</v>
      </c>
      <c r="C130">
        <v>3</v>
      </c>
    </row>
    <row r="131" spans="1:3" hidden="1" x14ac:dyDescent="0.25">
      <c r="A131" t="s">
        <v>1902</v>
      </c>
      <c r="B131" t="s">
        <v>1903</v>
      </c>
      <c r="C131">
        <v>3</v>
      </c>
    </row>
    <row r="132" spans="1:3" hidden="1" x14ac:dyDescent="0.25">
      <c r="A132" t="s">
        <v>1904</v>
      </c>
      <c r="B132" t="s">
        <v>1903</v>
      </c>
      <c r="C132">
        <v>3</v>
      </c>
    </row>
    <row r="133" spans="1:3" hidden="1" x14ac:dyDescent="0.25">
      <c r="A133" t="s">
        <v>1905</v>
      </c>
      <c r="B133" t="s">
        <v>1903</v>
      </c>
      <c r="C133">
        <v>3</v>
      </c>
    </row>
    <row r="134" spans="1:3" hidden="1" x14ac:dyDescent="0.25">
      <c r="A134" t="s">
        <v>1906</v>
      </c>
      <c r="B134" t="s">
        <v>1907</v>
      </c>
      <c r="C134">
        <v>3</v>
      </c>
    </row>
    <row r="135" spans="1:3" hidden="1" x14ac:dyDescent="0.25">
      <c r="A135" t="s">
        <v>1908</v>
      </c>
      <c r="B135" t="s">
        <v>1907</v>
      </c>
      <c r="C135">
        <v>3</v>
      </c>
    </row>
    <row r="136" spans="1:3" hidden="1" x14ac:dyDescent="0.25">
      <c r="A136" t="s">
        <v>115</v>
      </c>
      <c r="B136" t="s">
        <v>1909</v>
      </c>
      <c r="C136">
        <v>3</v>
      </c>
    </row>
    <row r="137" spans="1:3" hidden="1" x14ac:dyDescent="0.25">
      <c r="A137" t="s">
        <v>1910</v>
      </c>
      <c r="B137" t="s">
        <v>1909</v>
      </c>
      <c r="C137">
        <v>3</v>
      </c>
    </row>
    <row r="138" spans="1:3" hidden="1" x14ac:dyDescent="0.25">
      <c r="A138" t="s">
        <v>1911</v>
      </c>
      <c r="B138" t="s">
        <v>1912</v>
      </c>
      <c r="C138">
        <v>3</v>
      </c>
    </row>
    <row r="139" spans="1:3" hidden="1" x14ac:dyDescent="0.25">
      <c r="A139" t="s">
        <v>1913</v>
      </c>
      <c r="B139" t="s">
        <v>1912</v>
      </c>
      <c r="C139">
        <v>3</v>
      </c>
    </row>
    <row r="140" spans="1:3" hidden="1" x14ac:dyDescent="0.25">
      <c r="A140" t="s">
        <v>1208</v>
      </c>
      <c r="B140" t="s">
        <v>1914</v>
      </c>
      <c r="C140">
        <v>3</v>
      </c>
    </row>
    <row r="141" spans="1:3" hidden="1" x14ac:dyDescent="0.25">
      <c r="A141" t="s">
        <v>1915</v>
      </c>
      <c r="B141" t="s">
        <v>1914</v>
      </c>
      <c r="C141">
        <v>3</v>
      </c>
    </row>
    <row r="142" spans="1:3" hidden="1" x14ac:dyDescent="0.25">
      <c r="A142" t="s">
        <v>1916</v>
      </c>
      <c r="B142" t="s">
        <v>1914</v>
      </c>
      <c r="C142">
        <v>3</v>
      </c>
    </row>
    <row r="143" spans="1:3" hidden="1" x14ac:dyDescent="0.25">
      <c r="A143" t="s">
        <v>1917</v>
      </c>
      <c r="B143" t="s">
        <v>1855</v>
      </c>
      <c r="C143">
        <v>3</v>
      </c>
    </row>
    <row r="144" spans="1:3" hidden="1" x14ac:dyDescent="0.25">
      <c r="A144" t="s">
        <v>681</v>
      </c>
      <c r="B144" t="s">
        <v>1855</v>
      </c>
      <c r="C144">
        <v>3</v>
      </c>
    </row>
    <row r="145" spans="1:3" hidden="1" x14ac:dyDescent="0.25">
      <c r="A145" t="s">
        <v>709</v>
      </c>
      <c r="B145" t="s">
        <v>1918</v>
      </c>
      <c r="C145">
        <v>3</v>
      </c>
    </row>
    <row r="146" spans="1:3" hidden="1" x14ac:dyDescent="0.25">
      <c r="A146" t="s">
        <v>498</v>
      </c>
      <c r="B146" t="s">
        <v>1919</v>
      </c>
      <c r="C146">
        <v>3</v>
      </c>
    </row>
    <row r="147" spans="1:3" hidden="1" x14ac:dyDescent="0.25">
      <c r="A147" t="s">
        <v>1920</v>
      </c>
      <c r="B147" t="s">
        <v>1919</v>
      </c>
      <c r="C147">
        <v>3</v>
      </c>
    </row>
    <row r="148" spans="1:3" x14ac:dyDescent="0.25">
      <c r="A148" t="s">
        <v>221</v>
      </c>
      <c r="B148" t="s">
        <v>1921</v>
      </c>
      <c r="C148">
        <v>3</v>
      </c>
    </row>
    <row r="149" spans="1:3" x14ac:dyDescent="0.25">
      <c r="A149" t="s">
        <v>1922</v>
      </c>
      <c r="B149" t="s">
        <v>1921</v>
      </c>
      <c r="C149">
        <v>3</v>
      </c>
    </row>
    <row r="150" spans="1:3" x14ac:dyDescent="0.25">
      <c r="A150" t="s">
        <v>619</v>
      </c>
      <c r="B150" t="s">
        <v>1921</v>
      </c>
      <c r="C150">
        <v>3</v>
      </c>
    </row>
    <row r="151" spans="1:3" x14ac:dyDescent="0.25">
      <c r="A151" t="s">
        <v>1923</v>
      </c>
      <c r="B151" t="s">
        <v>1921</v>
      </c>
      <c r="C151">
        <v>3</v>
      </c>
    </row>
    <row r="152" spans="1:3" x14ac:dyDescent="0.25">
      <c r="A152" t="s">
        <v>544</v>
      </c>
      <c r="B152" t="s">
        <v>1921</v>
      </c>
      <c r="C152">
        <v>3</v>
      </c>
    </row>
    <row r="153" spans="1:3" hidden="1" x14ac:dyDescent="0.25">
      <c r="A153" t="s">
        <v>1924</v>
      </c>
      <c r="B153" t="s">
        <v>1925</v>
      </c>
      <c r="C153">
        <v>3</v>
      </c>
    </row>
    <row r="154" spans="1:3" hidden="1" x14ac:dyDescent="0.25">
      <c r="A154" t="s">
        <v>1926</v>
      </c>
      <c r="B154" t="s">
        <v>1925</v>
      </c>
      <c r="C154">
        <v>3</v>
      </c>
    </row>
    <row r="155" spans="1:3" hidden="1" x14ac:dyDescent="0.25">
      <c r="A155" t="s">
        <v>1927</v>
      </c>
      <c r="B155" t="s">
        <v>1925</v>
      </c>
      <c r="C155">
        <v>3</v>
      </c>
    </row>
    <row r="156" spans="1:3" hidden="1" x14ac:dyDescent="0.25">
      <c r="A156" t="s">
        <v>1928</v>
      </c>
      <c r="B156" t="s">
        <v>1925</v>
      </c>
      <c r="C156">
        <v>3</v>
      </c>
    </row>
    <row r="157" spans="1:3" hidden="1" x14ac:dyDescent="0.25">
      <c r="A157" t="s">
        <v>101</v>
      </c>
      <c r="B157" t="s">
        <v>1929</v>
      </c>
      <c r="C157">
        <v>9</v>
      </c>
    </row>
    <row r="158" spans="1:3" hidden="1" x14ac:dyDescent="0.25">
      <c r="A158" t="s">
        <v>1930</v>
      </c>
      <c r="B158" t="s">
        <v>1929</v>
      </c>
      <c r="C158">
        <v>9</v>
      </c>
    </row>
    <row r="159" spans="1:3" hidden="1" x14ac:dyDescent="0.25">
      <c r="A159" t="s">
        <v>172</v>
      </c>
      <c r="B159" t="s">
        <v>1804</v>
      </c>
      <c r="C159">
        <v>9</v>
      </c>
    </row>
    <row r="160" spans="1:3" hidden="1" x14ac:dyDescent="0.25">
      <c r="A160" t="s">
        <v>1931</v>
      </c>
      <c r="B160" t="s">
        <v>1843</v>
      </c>
      <c r="C160">
        <v>9</v>
      </c>
    </row>
    <row r="161" spans="1:3" hidden="1" x14ac:dyDescent="0.25">
      <c r="A161" t="s">
        <v>389</v>
      </c>
      <c r="B161" t="s">
        <v>1751</v>
      </c>
      <c r="C161">
        <v>9</v>
      </c>
    </row>
    <row r="162" spans="1:3" hidden="1" x14ac:dyDescent="0.25">
      <c r="A162" t="s">
        <v>494</v>
      </c>
      <c r="B162" t="s">
        <v>1746</v>
      </c>
      <c r="C162">
        <v>9</v>
      </c>
    </row>
    <row r="163" spans="1:3" hidden="1" x14ac:dyDescent="0.25">
      <c r="A163" t="s">
        <v>1932</v>
      </c>
      <c r="B163" t="s">
        <v>1746</v>
      </c>
      <c r="C163">
        <v>9</v>
      </c>
    </row>
    <row r="164" spans="1:3" hidden="1" x14ac:dyDescent="0.25">
      <c r="A164" t="s">
        <v>1933</v>
      </c>
      <c r="B164" t="s">
        <v>1746</v>
      </c>
      <c r="C164">
        <v>9</v>
      </c>
    </row>
    <row r="165" spans="1:3" hidden="1" x14ac:dyDescent="0.25">
      <c r="A165" t="s">
        <v>1934</v>
      </c>
      <c r="B165" t="s">
        <v>1746</v>
      </c>
      <c r="C165">
        <v>9</v>
      </c>
    </row>
    <row r="166" spans="1:3" hidden="1" x14ac:dyDescent="0.25">
      <c r="A166" t="s">
        <v>190</v>
      </c>
      <c r="B166" t="s">
        <v>1823</v>
      </c>
      <c r="C166">
        <v>9</v>
      </c>
    </row>
    <row r="167" spans="1:3" hidden="1" x14ac:dyDescent="0.25">
      <c r="A167" t="s">
        <v>1378</v>
      </c>
      <c r="B167" t="s">
        <v>1823</v>
      </c>
      <c r="C167">
        <v>9</v>
      </c>
    </row>
    <row r="168" spans="1:3" hidden="1" x14ac:dyDescent="0.25">
      <c r="A168" t="s">
        <v>1935</v>
      </c>
      <c r="B168" t="s">
        <v>1821</v>
      </c>
      <c r="C168">
        <v>9</v>
      </c>
    </row>
    <row r="169" spans="1:3" hidden="1" x14ac:dyDescent="0.25">
      <c r="A169" t="s">
        <v>79</v>
      </c>
      <c r="B169" t="s">
        <v>1821</v>
      </c>
      <c r="C169">
        <v>9</v>
      </c>
    </row>
    <row r="170" spans="1:3" hidden="1" x14ac:dyDescent="0.25">
      <c r="A170" t="s">
        <v>1551</v>
      </c>
      <c r="B170" t="s">
        <v>1821</v>
      </c>
      <c r="C170">
        <v>9</v>
      </c>
    </row>
    <row r="171" spans="1:3" hidden="1" x14ac:dyDescent="0.25">
      <c r="A171" t="s">
        <v>200</v>
      </c>
      <c r="B171" t="s">
        <v>1825</v>
      </c>
      <c r="C171">
        <v>9</v>
      </c>
    </row>
    <row r="172" spans="1:3" hidden="1" x14ac:dyDescent="0.25">
      <c r="A172" t="s">
        <v>179</v>
      </c>
      <c r="B172" t="s">
        <v>1828</v>
      </c>
      <c r="C172">
        <v>9</v>
      </c>
    </row>
    <row r="173" spans="1:3" hidden="1" x14ac:dyDescent="0.25">
      <c r="A173" t="s">
        <v>1936</v>
      </c>
      <c r="B173" t="s">
        <v>1830</v>
      </c>
      <c r="C173">
        <v>9</v>
      </c>
    </row>
    <row r="174" spans="1:3" hidden="1" x14ac:dyDescent="0.25">
      <c r="A174" t="s">
        <v>1937</v>
      </c>
      <c r="B174" t="s">
        <v>1830</v>
      </c>
      <c r="C174">
        <v>9</v>
      </c>
    </row>
    <row r="175" spans="1:3" hidden="1" x14ac:dyDescent="0.25">
      <c r="A175" t="s">
        <v>1938</v>
      </c>
      <c r="B175" t="s">
        <v>1818</v>
      </c>
      <c r="C175">
        <v>9</v>
      </c>
    </row>
    <row r="176" spans="1:3" hidden="1" x14ac:dyDescent="0.25">
      <c r="A176" t="s">
        <v>1939</v>
      </c>
      <c r="B176" t="s">
        <v>1818</v>
      </c>
      <c r="C176">
        <v>9</v>
      </c>
    </row>
    <row r="177" spans="1:3" hidden="1" x14ac:dyDescent="0.25">
      <c r="A177" t="s">
        <v>1940</v>
      </c>
      <c r="B177" t="s">
        <v>1796</v>
      </c>
      <c r="C177">
        <v>9</v>
      </c>
    </row>
    <row r="178" spans="1:3" hidden="1" x14ac:dyDescent="0.25">
      <c r="A178" t="s">
        <v>1941</v>
      </c>
      <c r="B178" t="s">
        <v>1796</v>
      </c>
      <c r="C178">
        <v>9</v>
      </c>
    </row>
    <row r="179" spans="1:3" hidden="1" x14ac:dyDescent="0.25">
      <c r="A179" t="s">
        <v>185</v>
      </c>
      <c r="B179" t="s">
        <v>1942</v>
      </c>
      <c r="C179">
        <v>9</v>
      </c>
    </row>
    <row r="180" spans="1:3" hidden="1" x14ac:dyDescent="0.25">
      <c r="A180" t="s">
        <v>1943</v>
      </c>
      <c r="B180" t="s">
        <v>1780</v>
      </c>
      <c r="C180">
        <v>9</v>
      </c>
    </row>
    <row r="181" spans="1:3" hidden="1" x14ac:dyDescent="0.25">
      <c r="A181" t="s">
        <v>1944</v>
      </c>
      <c r="B181" t="s">
        <v>1780</v>
      </c>
      <c r="C181">
        <v>9</v>
      </c>
    </row>
    <row r="182" spans="1:3" hidden="1" x14ac:dyDescent="0.25">
      <c r="A182" t="s">
        <v>1289</v>
      </c>
      <c r="B182" t="s">
        <v>1945</v>
      </c>
      <c r="C182">
        <v>9</v>
      </c>
    </row>
    <row r="183" spans="1:3" hidden="1" x14ac:dyDescent="0.25">
      <c r="A183" t="s">
        <v>1946</v>
      </c>
      <c r="B183" t="s">
        <v>1947</v>
      </c>
      <c r="C183">
        <v>9</v>
      </c>
    </row>
    <row r="184" spans="1:3" hidden="1" x14ac:dyDescent="0.25">
      <c r="A184" t="s">
        <v>1948</v>
      </c>
      <c r="B184" t="s">
        <v>1947</v>
      </c>
      <c r="C184">
        <v>9</v>
      </c>
    </row>
    <row r="185" spans="1:3" hidden="1" x14ac:dyDescent="0.25">
      <c r="A185" t="s">
        <v>1897</v>
      </c>
      <c r="B185" t="s">
        <v>1895</v>
      </c>
      <c r="C185">
        <v>9</v>
      </c>
    </row>
    <row r="186" spans="1:3" hidden="1" x14ac:dyDescent="0.25">
      <c r="A186" t="s">
        <v>1949</v>
      </c>
      <c r="B186" t="s">
        <v>1914</v>
      </c>
      <c r="C186">
        <v>9</v>
      </c>
    </row>
    <row r="187" spans="1:3" hidden="1" x14ac:dyDescent="0.25">
      <c r="A187" t="s">
        <v>709</v>
      </c>
      <c r="B187" t="s">
        <v>1918</v>
      </c>
      <c r="C187">
        <v>9</v>
      </c>
    </row>
  </sheetData>
  <autoFilter ref="A1:C187" xr:uid="{00000000-0009-0000-0000-000001000000}">
    <filterColumn colId="1">
      <filters>
        <filter val="نشتی - پمپ تخلیه (تعمیر/آب‌بندی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داده خام</vt:lpstr>
      <vt:lpstr>منطق دسته‌بندی</vt:lpstr>
      <vt:lpstr>'داده خام'!Print_Titles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جعفری</dc:creator>
  <cp:lastModifiedBy>خانم جعفری</cp:lastModifiedBy>
  <cp:lastPrinted>2026-10-25T10:14:12Z</cp:lastPrinted>
  <dcterms:created xsi:type="dcterms:W3CDTF">2026-09-27T04:09:43Z</dcterms:created>
  <dcterms:modified xsi:type="dcterms:W3CDTF">2026-10-25T10:32:36Z</dcterms:modified>
</cp:coreProperties>
</file>